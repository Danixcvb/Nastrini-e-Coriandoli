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codeName="Questa_cartella_di_lavoro" defaultThemeVersion="124226"/>
  <xr:revisionPtr revIDLastSave="0" documentId="13_ncr:1_{F76BA527-3453-463B-922B-9B177647B641}" xr6:coauthVersionLast="47" xr6:coauthVersionMax="47" xr10:uidLastSave="{00000000-0000-0000-0000-000000000000}"/>
  <bookViews>
    <workbookView xWindow="-108" yWindow="-108" windowWidth="23256" windowHeight="14160" activeTab="2" xr2:uid="{00000000-000D-0000-FFFF-FFFF00000000}"/>
  </bookViews>
  <sheets>
    <sheet name="Revision" sheetId="3" r:id="rId1"/>
    <sheet name="Remote List" sheetId="2" r:id="rId2"/>
    <sheet name="IO List" sheetId="1" r:id="rId3"/>
  </sheets>
  <definedNames>
    <definedName name="_xlnm._FilterDatabase" localSheetId="2" hidden="1">'IO List'!$A$3:$V$215</definedName>
    <definedName name="EPL_HEADER" localSheetId="0">#REF!</definedName>
    <definedName name="EPL_VALUES" localSheetId="0">#REF!</definedName>
    <definedName name="H" localSheetId="0">#REF!</definedName>
    <definedName name="Trouble" localSheetId="0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6" i="1" l="1"/>
  <c r="G157" i="1"/>
  <c r="G158" i="1"/>
  <c r="G159" i="1"/>
  <c r="G160" i="1"/>
  <c r="G161" i="1"/>
  <c r="G162" i="1"/>
  <c r="G163" i="1"/>
  <c r="G164" i="1"/>
  <c r="G165" i="1"/>
  <c r="G166" i="1"/>
  <c r="G167" i="1"/>
  <c r="G138" i="1"/>
  <c r="G104" i="1"/>
  <c r="G105" i="1"/>
  <c r="G95" i="1"/>
  <c r="G96" i="1"/>
  <c r="G97" i="1"/>
  <c r="G98" i="1"/>
  <c r="G80" i="1"/>
  <c r="G81" i="1"/>
  <c r="G82" i="1"/>
  <c r="G63" i="1"/>
  <c r="G61" i="1"/>
  <c r="G58" i="1"/>
  <c r="G56" i="1"/>
  <c r="G39" i="1"/>
  <c r="G17" i="1"/>
  <c r="G13" i="1"/>
  <c r="G14" i="1"/>
  <c r="G15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172" i="1"/>
  <c r="G5" i="1"/>
  <c r="G6" i="1"/>
  <c r="G7" i="1"/>
  <c r="G8" i="1"/>
  <c r="G9" i="1"/>
  <c r="G10" i="1"/>
  <c r="G11" i="1"/>
  <c r="G12" i="1"/>
  <c r="G16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7" i="1"/>
  <c r="G59" i="1"/>
  <c r="G60" i="1"/>
  <c r="G62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3" i="1"/>
  <c r="G84" i="1"/>
  <c r="G85" i="1"/>
  <c r="G86" i="1"/>
  <c r="G87" i="1"/>
  <c r="G88" i="1"/>
  <c r="G89" i="1"/>
  <c r="G90" i="1"/>
  <c r="G91" i="1"/>
  <c r="G92" i="1"/>
  <c r="G93" i="1"/>
  <c r="G94" i="1"/>
  <c r="G99" i="1"/>
  <c r="G100" i="1"/>
  <c r="G101" i="1"/>
  <c r="G102" i="1"/>
  <c r="G103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68" i="1"/>
  <c r="G169" i="1"/>
  <c r="G170" i="1"/>
  <c r="G171" i="1"/>
  <c r="G4" i="1"/>
  <c r="T194" i="1"/>
  <c r="T195" i="1"/>
  <c r="T197" i="1"/>
  <c r="T205" i="1"/>
  <c r="T206" i="1"/>
  <c r="T208" i="1"/>
  <c r="T183" i="1"/>
  <c r="T184" i="1"/>
  <c r="T186" i="1"/>
  <c r="T172" i="1"/>
  <c r="T173" i="1"/>
  <c r="T175" i="1"/>
</calcChain>
</file>

<file path=xl/sharedStrings.xml><?xml version="1.0" encoding="utf-8"?>
<sst xmlns="http://schemas.openxmlformats.org/spreadsheetml/2006/main" count="3863" uniqueCount="668">
  <si>
    <t>PIN</t>
  </si>
  <si>
    <t>-</t>
  </si>
  <si>
    <t>FIELD</t>
  </si>
  <si>
    <t>CARD TYPE</t>
  </si>
  <si>
    <t>REMOTE</t>
  </si>
  <si>
    <t>PLC</t>
  </si>
  <si>
    <t>SW INFORMATION</t>
  </si>
  <si>
    <t>ELETTRICAL INFO</t>
  </si>
  <si>
    <t>REV</t>
  </si>
  <si>
    <t>PHASE</t>
  </si>
  <si>
    <t xml:space="preserve">Eletrical Equipment </t>
  </si>
  <si>
    <t>Function</t>
  </si>
  <si>
    <t>ID LINE COMPONENT</t>
  </si>
  <si>
    <t>Electrical TAG</t>
  </si>
  <si>
    <t>SW TAG</t>
  </si>
  <si>
    <t>EQUIPMENT LOCATION</t>
  </si>
  <si>
    <t>DI SAFE</t>
  </si>
  <si>
    <t>DO SAFE</t>
  </si>
  <si>
    <t>DI</t>
  </si>
  <si>
    <t>DO</t>
  </si>
  <si>
    <t>AI</t>
  </si>
  <si>
    <t>AO</t>
  </si>
  <si>
    <t>HIGH SPEED COUNTER</t>
  </si>
  <si>
    <t>HARD WIRED TO</t>
  </si>
  <si>
    <t>CARD ID</t>
  </si>
  <si>
    <t>I/O ADDR</t>
  </si>
  <si>
    <t>SCADA ALARM</t>
  </si>
  <si>
    <t>REV 0</t>
  </si>
  <si>
    <t>SIGNAL DESCRIPTION</t>
  </si>
  <si>
    <t>NOTE</t>
  </si>
  <si>
    <t>1</t>
  </si>
  <si>
    <t>2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</si>
  <si>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</si>
  <si>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</si>
  <si>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</si>
  <si>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</si>
  <si>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</si>
  <si>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</si>
  <si>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</si>
  <si>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</si>
  <si>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</si>
  <si>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</si>
  <si>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3</t>
  </si>
  <si>
    <t>14</t>
  </si>
  <si>
    <t>15</t>
  </si>
  <si>
    <t>16</t>
  </si>
  <si>
    <t>++FIRE_ALARM</t>
  </si>
  <si>
    <t>-350S1</t>
  </si>
  <si>
    <t>-100S3</t>
  </si>
  <si>
    <t>-100P1</t>
  </si>
  <si>
    <t>-100S2</t>
  </si>
  <si>
    <t>-101P1</t>
  </si>
  <si>
    <t>-100P2</t>
  </si>
  <si>
    <t>-100S1</t>
  </si>
  <si>
    <t>-100P3</t>
  </si>
  <si>
    <t>-100P4</t>
  </si>
  <si>
    <t>-505K1</t>
  </si>
  <si>
    <t>-505K2</t>
  </si>
  <si>
    <t>-505K3</t>
  </si>
  <si>
    <t>-505K4</t>
  </si>
  <si>
    <t>-505K5</t>
  </si>
  <si>
    <t>-505K6</t>
  </si>
  <si>
    <t>-T0001</t>
  </si>
  <si>
    <t>-B1101</t>
  </si>
  <si>
    <t>-B1201</t>
  </si>
  <si>
    <t>-450S1</t>
  </si>
  <si>
    <t>-B1601</t>
  </si>
  <si>
    <t>-450S2</t>
  </si>
  <si>
    <t>-100Q1</t>
  </si>
  <si>
    <t>-105F1</t>
  </si>
  <si>
    <t>-105B1</t>
  </si>
  <si>
    <t>-107F1</t>
  </si>
  <si>
    <t>-107F2</t>
  </si>
  <si>
    <t>-130F1</t>
  </si>
  <si>
    <t>-156F1</t>
  </si>
  <si>
    <t>-159F1</t>
  </si>
  <si>
    <t>-159F2</t>
  </si>
  <si>
    <t>-159F3</t>
  </si>
  <si>
    <t>-169F1</t>
  </si>
  <si>
    <t>-K0001</t>
  </si>
  <si>
    <t>-X</t>
  </si>
  <si>
    <t>-500P1</t>
  </si>
  <si>
    <t>-210F1</t>
  </si>
  <si>
    <t>-501P1</t>
  </si>
  <si>
    <t>=NT23++AE00+MCPHF11-350S1</t>
  </si>
  <si>
    <t>=NT23++HF11+OP601-100S3</t>
  </si>
  <si>
    <t>=NT23++HF11+OP601-100P1</t>
  </si>
  <si>
    <t>=NT23++HF11+OP602-100S2</t>
  </si>
  <si>
    <t>=NT23++HF11+OP602-100S3</t>
  </si>
  <si>
    <t>=NT23++HF11+OP602-100P1</t>
  </si>
  <si>
    <t>=NT23++HF11+MP301-100S3</t>
  </si>
  <si>
    <t>=NT23++HF11+MP301-101P1</t>
  </si>
  <si>
    <t>=NT23++HF11+MP201-100S2</t>
  </si>
  <si>
    <t>=NT23++HF11+MP201-101P1</t>
  </si>
  <si>
    <t>=NT23++HF11+OP801-100P1</t>
  </si>
  <si>
    <t>=NT23++AE00+MCPHF11-351X3:2</t>
  </si>
  <si>
    <t>=NT23++HF11+OP801-100P2</t>
  </si>
  <si>
    <t>=NT23++HF11+OP801-100S1</t>
  </si>
  <si>
    <t>=NT23++AE00+MCPHF11-500X1:12</t>
  </si>
  <si>
    <t>=NT23++HF11+LB001-100P1</t>
  </si>
  <si>
    <t>=NT23++HF11+LB001-100P2</t>
  </si>
  <si>
    <t>=NT23++HF11+LB001-100P3</t>
  </si>
  <si>
    <t>=NT23++HF11+LB001-100P4</t>
  </si>
  <si>
    <t>=NT23++HF11+LB002-100P1</t>
  </si>
  <si>
    <t>=NT23++HF11+LB002-100P2</t>
  </si>
  <si>
    <t>=NT23++HF11+LB002-100P3</t>
  </si>
  <si>
    <t>=NT23++HF11+LB002-100P4</t>
  </si>
  <si>
    <t>=NT23++AE00+MCPHF11-505K1</t>
  </si>
  <si>
    <t>=NT23++AE00+MCPHF11-505K2</t>
  </si>
  <si>
    <t>=NT23++AE00+MCPHF11-505K3</t>
  </si>
  <si>
    <t>=NT23++AE00+MCPHF11-505K4</t>
  </si>
  <si>
    <t>=NT23++AE00+MCPHF11-505K5</t>
  </si>
  <si>
    <t>=NT23++AE00+MCPHF11-505K6</t>
  </si>
  <si>
    <t>=NT23++AE00+MCPHF11-500X1:14</t>
  </si>
  <si>
    <t>=NT23++AE00+MCPHF11-500X1:16</t>
  </si>
  <si>
    <t>=NT23++AE00+MCPHF11-500X1:18</t>
  </si>
  <si>
    <t>=NT23++HF11+MP301-100S1</t>
  </si>
  <si>
    <t>=NT23++AE00+MCPHF11-500X1:20</t>
  </si>
  <si>
    <t>=NT23++AE00+MCPHF11-500X1:22</t>
  </si>
  <si>
    <t>=NT23++AE00+MCPHF11-500X1:24</t>
  </si>
  <si>
    <t>=NT23++AE00+MCPHF11-500X1:26</t>
  </si>
  <si>
    <t>=NT23++AE00+MCPHF11-500X1:28</t>
  </si>
  <si>
    <t>=NT23++AE00+MCPHF11-500X1:30</t>
  </si>
  <si>
    <t>=NT23++AE00+MCPHF11-500X1:32</t>
  </si>
  <si>
    <t>=NT23++AE00+MCPHF11-500X1:34</t>
  </si>
  <si>
    <t>=NT23++AE00+MCPHF11-500X1:36</t>
  </si>
  <si>
    <t>=NT23++AE00+MCPHF11-500X1:38</t>
  </si>
  <si>
    <t>=NT23++AE00+MCPHF11-500X1:40</t>
  </si>
  <si>
    <t>=NT23++AE00+MCPHF11-500X1:42</t>
  </si>
  <si>
    <t>=NT23++AE00+MCPHF11-500X1:44</t>
  </si>
  <si>
    <t>=NT23++AE00+MCPHF11-500X1:46</t>
  </si>
  <si>
    <t>=NT23++HF11+ST005-T0001</t>
  </si>
  <si>
    <t>=NT23++HF11+ST005-B1101</t>
  </si>
  <si>
    <t>=NT23++AE00+MCPHF11-351X3:4</t>
  </si>
  <si>
    <t>=NT23++HF11+ST005-B1201</t>
  </si>
  <si>
    <t>=NT23++HF11+ST009-T0001</t>
  </si>
  <si>
    <t>=NT23++AE00+MCPHF11-351X4:4</t>
  </si>
  <si>
    <t>=NT23++HF11+ST011-T0001</t>
  </si>
  <si>
    <t>=NT23++AE00+MCPHF11-450S1</t>
  </si>
  <si>
    <t>=NT23++HF11+ST011-B1601</t>
  </si>
  <si>
    <t>=NT23++HF11+ST011-B1101</t>
  </si>
  <si>
    <t>=NT23++HF11+ST017-T0001</t>
  </si>
  <si>
    <t>=NT23++AE00+MCPHF11-450S2</t>
  </si>
  <si>
    <t>=NT23++HF11+ST017-B1101</t>
  </si>
  <si>
    <t>=NT23++AE00+MCPHF11-450X1:2</t>
  </si>
  <si>
    <t>=NT23++HF11+EB002-100S1</t>
  </si>
  <si>
    <t>=NT23++AE00+MCPHF11-450X1:4</t>
  </si>
  <si>
    <t>=NT23++AE00+MCPHF11-100Q1</t>
  </si>
  <si>
    <t>=NT23++AE00+MCPHF11-105F1</t>
  </si>
  <si>
    <t>=NT23++AE00+MCPHF11-105B1</t>
  </si>
  <si>
    <t>=NT23++AE00+MCPHF11-107F1</t>
  </si>
  <si>
    <t>=NT23++AE00+MCPHF11-107F2</t>
  </si>
  <si>
    <t>=NT23++AE00+MCPHF11-130F1</t>
  </si>
  <si>
    <t>=NT23++AE00+MCPHF11-450X1:6</t>
  </si>
  <si>
    <t>=NT23++AE00+MCPHF11-156F1</t>
  </si>
  <si>
    <t>=NT23++HF11+EB004-100S1</t>
  </si>
  <si>
    <t>=NT23++AE00+MCPHF11-159F1</t>
  </si>
  <si>
    <t>=NT23++AE00+MCPHF11-159F2</t>
  </si>
  <si>
    <t>=NT23++AE00+MCPHF11-159F3</t>
  </si>
  <si>
    <t>=NT23++AE00+MCPHF11-169F1</t>
  </si>
  <si>
    <t>=NT23++HF11+SD007.CD007-K0001</t>
  </si>
  <si>
    <t>=NT23++HF11+SD013.CD013-K0001</t>
  </si>
  <si>
    <t>=NT23++HF11+MP201-100S1</t>
  </si>
  <si>
    <t>=NT23++HF11+BR002-100S1</t>
  </si>
  <si>
    <t>=NT23++HF11+BR002-100S2</t>
  </si>
  <si>
    <t>=CUSTOMER++FIRE_ALARM+-X</t>
  </si>
  <si>
    <t>=NT23++HF11+BR004-100S1</t>
  </si>
  <si>
    <t>=NT23++HF11+BR004-100S2</t>
  </si>
  <si>
    <t>=NT23++HF11+OP601-100S1</t>
  </si>
  <si>
    <t>=NT23++HF11+OP601-100S2</t>
  </si>
  <si>
    <t>=NT23++HF11+OP602-100S1</t>
  </si>
  <si>
    <t>=NT23++HF11+MP301-100S2</t>
  </si>
  <si>
    <t>=NT23++HF11+OP801-100S2</t>
  </si>
  <si>
    <t>=NT23++HF11+OP802-100S1</t>
  </si>
  <si>
    <t>=NT23++AE00+MCPHF11-450X1:8</t>
  </si>
  <si>
    <t>=NT23++AE00+MCPHF11-450X1:10</t>
  </si>
  <si>
    <t>=NT23++AE00+MCPHF11-450X1:12</t>
  </si>
  <si>
    <t>=NT23++AE00+MCPHF11-450X1:14</t>
  </si>
  <si>
    <t>=NT23++AE00+MCPHF11-450X1:16</t>
  </si>
  <si>
    <t>=NT23++AE00+MCPHF11-450X1:18</t>
  </si>
  <si>
    <t>=NT23++AE00+MCPHF11-450X1:20</t>
  </si>
  <si>
    <t>=NT23++AE00+MCPHF11-450X1:22</t>
  </si>
  <si>
    <t>=NT23++AE00+MCPHF11-450X1:24</t>
  </si>
  <si>
    <t>=NT23++AE00+MCPHF11-500P1</t>
  </si>
  <si>
    <t>=NT23++AE00+MCPHF11-210F1</t>
  </si>
  <si>
    <t>=NT23++AE00+MCPHF11-500X1:10</t>
  </si>
  <si>
    <t>=NT23++AE00+MCPHF11-501P1</t>
  </si>
  <si>
    <t>=NT23++HF11+BR002-100P1</t>
  </si>
  <si>
    <t>=NT23++HF11+BR002-100P2</t>
  </si>
  <si>
    <t>=NT23++HF11+BR004-100P1</t>
  </si>
  <si>
    <t>=NT23++HF11+BR004-100P2</t>
  </si>
  <si>
    <t>EMERGENCY STOP PUSH BUTTON - CH1</t>
  </si>
  <si>
    <t>SPARE</t>
  </si>
  <si>
    <t>CLOSURE</t>
  </si>
  <si>
    <t>FAULT</t>
  </si>
  <si>
    <t>OPENING</t>
  </si>
  <si>
    <t>INTRODUCTION</t>
  </si>
  <si>
    <t>ACTIVE EMERGENCY STOP</t>
  </si>
  <si>
    <t>IQ-TEST EN COURSE / PICK UP</t>
  </si>
  <si>
    <t>OVERSIZE RUNNING</t>
  </si>
  <si>
    <t>SATURATION</t>
  </si>
  <si>
    <t>SEND</t>
  </si>
  <si>
    <t>RUNNING LIGHT - TOWER</t>
  </si>
  <si>
    <t>FAULT LIGHT - TOWER</t>
  </si>
  <si>
    <t>EMERGENCY LIGHT - TOWER</t>
  </si>
  <si>
    <t>BUZZER - TOWER</t>
  </si>
  <si>
    <t>UP ANTI-INTRUSION DAMPER ++HF11+SD007</t>
  </si>
  <si>
    <t>DOWN ANTI-INTRUSION DAMPER ++HF11+SD007</t>
  </si>
  <si>
    <t>ANOMALY ANTI-INTRUSION DAMPER ++HF11+SD007</t>
  </si>
  <si>
    <t>UP ANTI-INTRUSION DAMPER ++HF11+SD013</t>
  </si>
  <si>
    <t>DOWN ANTI-INTRUSION DAMPER ++HF11+SD013</t>
  </si>
  <si>
    <t>ANOMALY ANTI-INTRUSION DAMPER ++HF11+SD013</t>
  </si>
  <si>
    <t>EMERGENCY STOP - CH2</t>
  </si>
  <si>
    <t>KEY SWITCH LOCAL MODE</t>
  </si>
  <si>
    <t>STOP HEAD PHOTOCELL</t>
  </si>
  <si>
    <t>STOP TAIL PHOTOCELL</t>
  </si>
  <si>
    <t>EMERGENCY RESET</t>
  </si>
  <si>
    <t>JAM DETECTION</t>
  </si>
  <si>
    <t>FAULT ACKNOWLEDGMENT</t>
  </si>
  <si>
    <t>EMERGENCY STOP - CH1</t>
  </si>
  <si>
    <t>MAIN SWITCH CLOSED</t>
  </si>
  <si>
    <t>MAIN SWITCH TRIPPED</t>
  </si>
  <si>
    <t>POWER SUPPLY CIRCUIT BREAKER - STATUS - FAN</t>
  </si>
  <si>
    <t>HIGH TEMPERATURE ALARM</t>
  </si>
  <si>
    <t>400VAC POWER SUPPLY CIRCUIT BREAKER - STATUS - NETWORK ANALYZER</t>
  </si>
  <si>
    <t>230VAC-UPS POWER SUPPLY CIRCUIT BREAKER - STATUS - NETWORK ANALYZER</t>
  </si>
  <si>
    <t>400VAC POWER SUPPLY CIRCUIT BREAKER - STATUS - INVERTER - +ST005 &amp; +ST009 &amp; +ST011 &amp; +ST017</t>
  </si>
  <si>
    <t>230VAC POWER SUPPLY CIRCUIT BREAKER - STATUS - FIRE SHUTTER ++HF11+FD015</t>
  </si>
  <si>
    <t>400VAC POWER SUPPLY CIRCUIT BREAKER - STATUS - SECURITY SHUTTER ++HF11+SD007</t>
  </si>
  <si>
    <t>400VAC POWER SUPPLY CIRCUIT BREAKER - STATUS - SECURITY SHUTTER ++HF11+SD013</t>
  </si>
  <si>
    <t>400VAC POWER SUPPLY CIRCUIT BREAKER - STATUS - VERTISWITCH ++HF11+VT009</t>
  </si>
  <si>
    <t>230VAC-UPS POWER SUPPLY CIRCUIT BREAKER - STATUS - XRAY ++HF11+XR003</t>
  </si>
  <si>
    <t>UP ANTI-INTRUSION DAMPER</t>
  </si>
  <si>
    <t>DOWN ANTI-INTRUSION DAMPER</t>
  </si>
  <si>
    <t>TECHNICAL ERROR ANTI-INTRUSION DAMPER</t>
  </si>
  <si>
    <t>WARNING ANTI-INTRUSION DAMPER</t>
  </si>
  <si>
    <t>LOCK/UNLOCK MODE ANTI-INTRUSION DAMPER</t>
  </si>
  <si>
    <t>FIRE ALARM</t>
  </si>
  <si>
    <t>EMERGENCY STOP PUSH BUTTON - CH2</t>
  </si>
  <si>
    <t>AUTOMATIC</t>
  </si>
  <si>
    <t>MAINTENANCE</t>
  </si>
  <si>
    <t>PATH TEST</t>
  </si>
  <si>
    <t>IQ TEST</t>
  </si>
  <si>
    <t>BAGGAGE RETURN</t>
  </si>
  <si>
    <t>OVERSIZE COMMISIONING</t>
  </si>
  <si>
    <t>EMERGENCY PUSHBUTTON PRESSED</t>
  </si>
  <si>
    <t>ELECTRONIC FUSE 24VDC DISTRIBUTION RESET</t>
  </si>
  <si>
    <t>-340K1</t>
  </si>
  <si>
    <t>-340K2</t>
  </si>
  <si>
    <t>-340K3</t>
  </si>
  <si>
    <t>-341K2</t>
  </si>
  <si>
    <t>-341K3</t>
  </si>
  <si>
    <t>-341K4</t>
  </si>
  <si>
    <t>-340K4</t>
  </si>
  <si>
    <t>-340K5</t>
  </si>
  <si>
    <t>-340K6</t>
  </si>
  <si>
    <t>-340K7</t>
  </si>
  <si>
    <t>-341K1</t>
  </si>
  <si>
    <t>++AE00+MCPHF11</t>
  </si>
  <si>
    <t/>
  </si>
  <si>
    <t>++HF11+EB002</t>
  </si>
  <si>
    <t>++HF11+EB004</t>
  </si>
  <si>
    <t>++HF11+MP201</t>
  </si>
  <si>
    <t>++HF11+MP301</t>
  </si>
  <si>
    <t>-351X3:2</t>
  </si>
  <si>
    <t>-351X2:4</t>
  </si>
  <si>
    <t>-351X3:4</t>
  </si>
  <si>
    <t>-450X1:2</t>
  </si>
  <si>
    <t>-450X1:4</t>
  </si>
  <si>
    <t>-450X1:6</t>
  </si>
  <si>
    <t>++HF11+SD007.CD007</t>
  </si>
  <si>
    <t>++HF11+SD013.CD013</t>
  </si>
  <si>
    <t>++HF11+BR002</t>
  </si>
  <si>
    <t>++HF11+BR004</t>
  </si>
  <si>
    <t>++HF11+OP601</t>
  </si>
  <si>
    <t>++HF11+OP602</t>
  </si>
  <si>
    <t>++HF11+OP801</t>
  </si>
  <si>
    <t>++HF11+OP802</t>
  </si>
  <si>
    <t>-450X1:8</t>
  </si>
  <si>
    <t>++HF11+LB001</t>
  </si>
  <si>
    <t>++HF11+LB002</t>
  </si>
  <si>
    <t>++HF11+ST005</t>
  </si>
  <si>
    <t>++HF11+ST009</t>
  </si>
  <si>
    <t>++HF11+ST011</t>
  </si>
  <si>
    <t>++HF11+ST017</t>
  </si>
  <si>
    <t>SIE.6ES7132-6BH01-0BA0</t>
  </si>
  <si>
    <t>DO16xDC24V</t>
  </si>
  <si>
    <t>=NT23++AE00+MCPHF11-341K4</t>
  </si>
  <si>
    <t>=NT23++AE00+MCPHF11-341K3</t>
  </si>
  <si>
    <t>=NT23++AE00+MCPHF11-341K2</t>
  </si>
  <si>
    <t>=NT23++AE00+MCPHF11-341K1</t>
  </si>
  <si>
    <t>SIE.6ES7131-6BH01-0BA0</t>
  </si>
  <si>
    <t>DI16xDC24V</t>
  </si>
  <si>
    <t>=NT23++AE00+MCPHF11-340K7</t>
  </si>
  <si>
    <t>=NT23++AE00+MCPHF11-340K6</t>
  </si>
  <si>
    <t>=NT23++AE00+MCPHF11-340K5</t>
  </si>
  <si>
    <t>=NT23++AE00+MCPHF11-340K4</t>
  </si>
  <si>
    <t>SIE.6ES7136-6BA01-0CA0</t>
  </si>
  <si>
    <t>=NT23++AE00+MCPHF11-340K3</t>
  </si>
  <si>
    <t>=NT23++AE00+MCPHF11-340K2</t>
  </si>
  <si>
    <t>SIE.6ES7155-6AU01-0CN0</t>
  </si>
  <si>
    <t>IM 155-6 PN</t>
  </si>
  <si>
    <t>=NT23++AE00+MCPHF11-340K1</t>
  </si>
  <si>
    <t>SIE.6ES7516-3FP03-0AB0</t>
  </si>
  <si>
    <t>=NT23++AE00+MCPHF11-335K1</t>
  </si>
  <si>
    <t>SIE.6AV2128-3MB06-0AX1</t>
  </si>
  <si>
    <t>=NT23++AE00+MCPHF11-330K1</t>
  </si>
  <si>
    <t>SIE.6GK5206-2BD00-2AC2</t>
  </si>
  <si>
    <t>=NT23++AE00+MCPHF11-311K1</t>
  </si>
  <si>
    <t>SIE.6GK5208-0BA00-2AC2</t>
  </si>
  <si>
    <t>=NT23++AE00+MCPHF11-310K1</t>
  </si>
  <si>
    <t>LENZE DO</t>
  </si>
  <si>
    <t>LENZE DI</t>
  </si>
  <si>
    <t>SIEMENS DO</t>
  </si>
  <si>
    <t>SIEMENS DI</t>
  </si>
  <si>
    <t>NORD DO</t>
  </si>
  <si>
    <t>NORD DI</t>
  </si>
  <si>
    <t>MOVIFIT DO</t>
  </si>
  <si>
    <t>MOVIFIT DI</t>
  </si>
  <si>
    <t>MOVIMOT DO</t>
  </si>
  <si>
    <t>MOVIMOT DI</t>
  </si>
  <si>
    <t>MOVIGEAR DO</t>
  </si>
  <si>
    <t>MOVIGEAR DI</t>
  </si>
  <si>
    <t>O ADDR</t>
  </si>
  <si>
    <t>I ADDR</t>
  </si>
  <si>
    <t>PZD ADDR</t>
  </si>
  <si>
    <t>PB ADDR 2</t>
  </si>
  <si>
    <t>PB ADDR 1</t>
  </si>
  <si>
    <t>IP ADDR 2</t>
  </si>
  <si>
    <t>SUBNET 2</t>
  </si>
  <si>
    <t>IP ADDR 1</t>
  </si>
  <si>
    <t>SUBNET 1</t>
  </si>
  <si>
    <t>SIEMENS CODE</t>
  </si>
  <si>
    <t>REMOTE ID</t>
  </si>
  <si>
    <t>ELECTRICAL INFO</t>
  </si>
  <si>
    <t>Righi</t>
  </si>
  <si>
    <t>First emission</t>
  </si>
  <si>
    <t>Autor</t>
  </si>
  <si>
    <t>Description</t>
  </si>
  <si>
    <t>Date</t>
  </si>
  <si>
    <t>Num.</t>
  </si>
  <si>
    <t>Rev.</t>
  </si>
  <si>
    <t>Revision</t>
  </si>
  <si>
    <t>HF11SD007</t>
  </si>
  <si>
    <t>HF11SD013</t>
  </si>
  <si>
    <t>=NT23++AE00+HF11</t>
  </si>
  <si>
    <t>AUX</t>
  </si>
  <si>
    <t>GEN</t>
  </si>
  <si>
    <t>SCALANCE XC208</t>
  </si>
  <si>
    <t>SCALANCE XC206-2</t>
  </si>
  <si>
    <t>SIMATIC HMI MTP1200 Comfort</t>
  </si>
  <si>
    <t>SIMATIC S7-1500F Comfort</t>
  </si>
  <si>
    <t>F-DI 8x24VDC HF</t>
  </si>
  <si>
    <t>S1</t>
  </si>
  <si>
    <t>S2</t>
  </si>
  <si>
    <t>X5133_1:2</t>
  </si>
  <si>
    <t>X5133_1:4</t>
  </si>
  <si>
    <t>X5133_2:2</t>
  </si>
  <si>
    <t>X5133_2:4</t>
  </si>
  <si>
    <t>X5133_3:2</t>
  </si>
  <si>
    <t>X5133_3:4</t>
  </si>
  <si>
    <t>X5137_1:4</t>
  </si>
  <si>
    <t>X5137_2:4</t>
  </si>
  <si>
    <t>X5137_3:4</t>
  </si>
  <si>
    <t>PH_HF11ST005</t>
  </si>
  <si>
    <t>PH_HF11ST005_1</t>
  </si>
  <si>
    <t>PH_HF11ST011</t>
  </si>
  <si>
    <t>PH_HF11ST011_1</t>
  </si>
  <si>
    <t>PH_HF11ST017</t>
  </si>
  <si>
    <t>AU_HF11EB002</t>
  </si>
  <si>
    <t>AU_HF11EB004</t>
  </si>
  <si>
    <t>BPRP_HF11MP201</t>
  </si>
  <si>
    <t>BPIB_HF11MP301</t>
  </si>
  <si>
    <t>BRU_HF11BR002</t>
  </si>
  <si>
    <t>BRU_HF11BR004</t>
  </si>
  <si>
    <t>BPCV_HF11OP601</t>
  </si>
  <si>
    <t>BPCV_HF11OP602</t>
  </si>
  <si>
    <t>BPENH_HF11OP801</t>
  </si>
  <si>
    <t>BPENH1_HF11OP802</t>
  </si>
  <si>
    <t>CLL_HF11LB001</t>
  </si>
  <si>
    <t>CLL_HF11LB002</t>
  </si>
  <si>
    <t>HF11EB002</t>
  </si>
  <si>
    <t>HF11EB004</t>
  </si>
  <si>
    <t>HF11MP201</t>
  </si>
  <si>
    <t>HF11MP301</t>
  </si>
  <si>
    <t>HF11BR002</t>
  </si>
  <si>
    <t>HF11BR004</t>
  </si>
  <si>
    <t>HF11OP601</t>
  </si>
  <si>
    <t>HF11OP602</t>
  </si>
  <si>
    <t>HF11OP801</t>
  </si>
  <si>
    <t>HF11OP802</t>
  </si>
  <si>
    <t>HF11LB001</t>
  </si>
  <si>
    <t>HF11LB002</t>
  </si>
  <si>
    <t>HF11ST005</t>
  </si>
  <si>
    <t>HF11ST009</t>
  </si>
  <si>
    <t>HF11ST011</t>
  </si>
  <si>
    <t>HF11ST017</t>
  </si>
  <si>
    <t>-450X1:10</t>
  </si>
  <si>
    <t>-450X1:12</t>
  </si>
  <si>
    <t>-450X1:14</t>
  </si>
  <si>
    <t>-450X1:16</t>
  </si>
  <si>
    <t>-450X1:18</t>
  </si>
  <si>
    <t>-450X1:20</t>
  </si>
  <si>
    <t>-450X1:22</t>
  </si>
  <si>
    <t>-450X1:24</t>
  </si>
  <si>
    <t>-500X1:10</t>
  </si>
  <si>
    <t>-500X1:12</t>
  </si>
  <si>
    <t>-500X1:14</t>
  </si>
  <si>
    <t>-500X1:16</t>
  </si>
  <si>
    <t>-500X1:18</t>
  </si>
  <si>
    <t>-500X1:20</t>
  </si>
  <si>
    <t>-500X1:22</t>
  </si>
  <si>
    <t>-500X1:24</t>
  </si>
  <si>
    <t>-500X1:26</t>
  </si>
  <si>
    <t>-500X1:28</t>
  </si>
  <si>
    <t>-500X1:30</t>
  </si>
  <si>
    <t>-500X1:32</t>
  </si>
  <si>
    <t>-500X1:34</t>
  </si>
  <si>
    <t>-500X1:36</t>
  </si>
  <si>
    <t>-500X1:38</t>
  </si>
  <si>
    <t>-500X1:40</t>
  </si>
  <si>
    <t>-500X1:42</t>
  </si>
  <si>
    <t>-500X1:44</t>
  </si>
  <si>
    <t>-500X1:46</t>
  </si>
  <si>
    <t>=NT23++HF11</t>
  </si>
  <si>
    <t>Update</t>
  </si>
  <si>
    <t>=NT23++AE00+MCPHF11-340K8</t>
  </si>
  <si>
    <t>SIE.6ES7136-6DC00-0CA0</t>
  </si>
  <si>
    <t>F-DQ 8x24VDC</t>
  </si>
  <si>
    <t>REV 1</t>
  </si>
  <si>
    <t>-340K8</t>
  </si>
  <si>
    <t>-400X1:1</t>
  </si>
  <si>
    <t>-400X1:3</t>
  </si>
  <si>
    <t>-400X1:5</t>
  </si>
  <si>
    <t>-400X1:7</t>
  </si>
  <si>
    <t>-400X1:9</t>
  </si>
  <si>
    <t>-400X1:11</t>
  </si>
  <si>
    <t>=NT23++AE00+MCPHF11-400X1:1</t>
  </si>
  <si>
    <t>=NT23++AE00+MCPHF11-400X1:3</t>
  </si>
  <si>
    <t>=NT23++AE00+MCPHF11-400X1:5</t>
  </si>
  <si>
    <t>=NT23++AE00+MCPHF11-400X1:7</t>
  </si>
  <si>
    <t>=NT23++AE00+MCPHF11-400X1:9</t>
  </si>
  <si>
    <t>=NT23++AE00+MCPHF11-400X1:11</t>
  </si>
  <si>
    <t>-400K1</t>
  </si>
  <si>
    <t>=NT23++AE00+MCPHF11-400K1</t>
  </si>
  <si>
    <t>SOLENOID CONTROL DOOR</t>
  </si>
  <si>
    <t>-100K1</t>
  </si>
  <si>
    <t>=NT23++HF11+EK001-100K1</t>
  </si>
  <si>
    <t>SAFETY DOOR CLOSED - CH1</t>
  </si>
  <si>
    <t>SAFETY DOOR CLOSED - CH2</t>
  </si>
  <si>
    <t>HF11EK001</t>
  </si>
  <si>
    <t>EL_HF11EK001</t>
  </si>
  <si>
    <t>++HF11+EK001</t>
  </si>
  <si>
    <t>SAFETY DOOR  - ACTUATOR INSERTED</t>
  </si>
  <si>
    <t>SAFETY DOOR - ACTUATOR INSERTED AND LOCKED</t>
  </si>
  <si>
    <t>SAFETY DOOR - ACTUATOR RESET</t>
  </si>
  <si>
    <t>XR003CD003</t>
  </si>
  <si>
    <t>=NT23++HF11+XR003.CD003</t>
  </si>
  <si>
    <t>EMERGENCY FROM XRAY</t>
  </si>
  <si>
    <t>++HF11+XR003.CD003</t>
  </si>
  <si>
    <t>REV 2</t>
  </si>
  <si>
    <t>-400K2</t>
  </si>
  <si>
    <t>=NT23++AE00+MCPHF11-400K2</t>
  </si>
  <si>
    <t>EMERGENCY FROM BHS</t>
  </si>
  <si>
    <t>=NT23++HF11+BR002</t>
  </si>
  <si>
    <t>=NT23++HF11+BR004</t>
  </si>
  <si>
    <t>=NT23++AE00+MCPHF11-341K5</t>
  </si>
  <si>
    <t>=NT23++AE00+MCPHF11-341K6</t>
  </si>
  <si>
    <t>SIE.6ES7137-6AA01-0BA0</t>
  </si>
  <si>
    <t>CM PTP</t>
  </si>
  <si>
    <t>-341K6</t>
  </si>
  <si>
    <t>POWER ON</t>
  </si>
  <si>
    <t>EMERGENCY STOP ACTIVE</t>
  </si>
  <si>
    <t>EMERGENCY RESET ON</t>
  </si>
  <si>
    <t>SERVICE MODE</t>
  </si>
  <si>
    <t>TRANSIT ACTIVE</t>
  </si>
  <si>
    <t>NO SCAN MODE</t>
  </si>
  <si>
    <t>XRAY READY</t>
  </si>
  <si>
    <t>MACHINE OK</t>
  </si>
  <si>
    <t>CODE REQUEST</t>
  </si>
  <si>
    <t>ACCEPT</t>
  </si>
  <si>
    <t>REJECT</t>
  </si>
  <si>
    <t>SPEED OK</t>
  </si>
  <si>
    <t>-500K1</t>
  </si>
  <si>
    <t>-500K2</t>
  </si>
  <si>
    <t>-500K3</t>
  </si>
  <si>
    <t>-500K4</t>
  </si>
  <si>
    <t>=NT23++AE00+MCPHF11-500K1</t>
  </si>
  <si>
    <t>=NT23++AE00+MCPHF11-500K2</t>
  </si>
  <si>
    <t>=NT23++AE00+MCPHF11-500K3</t>
  </si>
  <si>
    <t>=NT23++AE00+MCPHF11-500K4</t>
  </si>
  <si>
    <t>POWER ON XRAY ++HF11+XR003</t>
  </si>
  <si>
    <t>EMERGENCY RESET XRAY ++HF11+XR003</t>
  </si>
  <si>
    <t>NO SCAN XRAY ++HF11+XR003</t>
  </si>
  <si>
    <t>CONVEYOR ON XRAY ++HF11+XR003</t>
  </si>
  <si>
    <t>I0.0</t>
  </si>
  <si>
    <t>I0.1</t>
  </si>
  <si>
    <t>I0.2</t>
  </si>
  <si>
    <t>I0.3</t>
  </si>
  <si>
    <t>I0.4</t>
  </si>
  <si>
    <t>I0.5</t>
  </si>
  <si>
    <t>I0.6</t>
  </si>
  <si>
    <t>I0.7</t>
  </si>
  <si>
    <t>I7.0</t>
  </si>
  <si>
    <t>I7.1</t>
  </si>
  <si>
    <t>I7.2</t>
  </si>
  <si>
    <t>I7.3</t>
  </si>
  <si>
    <t>I7.4</t>
  </si>
  <si>
    <t>I7.5</t>
  </si>
  <si>
    <t>I7.6</t>
  </si>
  <si>
    <t>I7.7</t>
  </si>
  <si>
    <t>Q14.0</t>
  </si>
  <si>
    <t>Q14.1</t>
  </si>
  <si>
    <t>Q14.2</t>
  </si>
  <si>
    <t>Q14.3</t>
  </si>
  <si>
    <t>Q14.4</t>
  </si>
  <si>
    <t>Q14.5</t>
  </si>
  <si>
    <t>Q14.6</t>
  </si>
  <si>
    <t>Q14.7</t>
  </si>
  <si>
    <t>I30.0</t>
  </si>
  <si>
    <t>I30.1</t>
  </si>
  <si>
    <t>I30.2</t>
  </si>
  <si>
    <t>I30.3</t>
  </si>
  <si>
    <t>I30.4</t>
  </si>
  <si>
    <t>I30.5</t>
  </si>
  <si>
    <t>I30.6</t>
  </si>
  <si>
    <t>I30.7</t>
  </si>
  <si>
    <t>I31.0</t>
  </si>
  <si>
    <t>I31.1</t>
  </si>
  <si>
    <t>I31.2</t>
  </si>
  <si>
    <t>I31.3</t>
  </si>
  <si>
    <t>I31.4</t>
  </si>
  <si>
    <t>I31.5</t>
  </si>
  <si>
    <t>I31.6</t>
  </si>
  <si>
    <t>I31.7</t>
  </si>
  <si>
    <t>I32.0</t>
  </si>
  <si>
    <t>I32.1</t>
  </si>
  <si>
    <t>I32.2</t>
  </si>
  <si>
    <t>I32.3</t>
  </si>
  <si>
    <t>I32.4</t>
  </si>
  <si>
    <t>I32.5</t>
  </si>
  <si>
    <t>I32.6</t>
  </si>
  <si>
    <t>I32.7</t>
  </si>
  <si>
    <t>I33.0</t>
  </si>
  <si>
    <t>I33.1</t>
  </si>
  <si>
    <t>I33.2</t>
  </si>
  <si>
    <t>I33.3</t>
  </si>
  <si>
    <t>I33.4</t>
  </si>
  <si>
    <t>I33.5</t>
  </si>
  <si>
    <t>I33.6</t>
  </si>
  <si>
    <t>I33.7</t>
  </si>
  <si>
    <t>I34.0</t>
  </si>
  <si>
    <t>I34.1</t>
  </si>
  <si>
    <t>I34.2</t>
  </si>
  <si>
    <t>I34.3</t>
  </si>
  <si>
    <t>I34.4</t>
  </si>
  <si>
    <t>I34.5</t>
  </si>
  <si>
    <t>I34.6</t>
  </si>
  <si>
    <t>I34.7</t>
  </si>
  <si>
    <t>I35.0</t>
  </si>
  <si>
    <t>I35.1</t>
  </si>
  <si>
    <t>I35.2</t>
  </si>
  <si>
    <t>I35.3</t>
  </si>
  <si>
    <t>I35.4</t>
  </si>
  <si>
    <t>I35.5</t>
  </si>
  <si>
    <t>I35.6</t>
  </si>
  <si>
    <t>I35.7</t>
  </si>
  <si>
    <t>I36.0</t>
  </si>
  <si>
    <t>I36.1</t>
  </si>
  <si>
    <t>I36.2</t>
  </si>
  <si>
    <t>I36.3</t>
  </si>
  <si>
    <t>I36.4</t>
  </si>
  <si>
    <t>I36.5</t>
  </si>
  <si>
    <t>I36.6</t>
  </si>
  <si>
    <t>I36.7</t>
  </si>
  <si>
    <t>I37.0</t>
  </si>
  <si>
    <t>I37.1</t>
  </si>
  <si>
    <t>I37.2</t>
  </si>
  <si>
    <t>I37.3</t>
  </si>
  <si>
    <t>I37.4</t>
  </si>
  <si>
    <t>I37.5</t>
  </si>
  <si>
    <t>I37.6</t>
  </si>
  <si>
    <t>I37.7</t>
  </si>
  <si>
    <t>Q30.0</t>
  </si>
  <si>
    <t>Q30.1</t>
  </si>
  <si>
    <t>Q30.2</t>
  </si>
  <si>
    <t>Q30.3</t>
  </si>
  <si>
    <t>Q30.4</t>
  </si>
  <si>
    <t>Q30.5</t>
  </si>
  <si>
    <t>Q30.6</t>
  </si>
  <si>
    <t>Q30.7</t>
  </si>
  <si>
    <t>Q31.0</t>
  </si>
  <si>
    <t>Q31.1</t>
  </si>
  <si>
    <t>Q31.2</t>
  </si>
  <si>
    <t>Q31.3</t>
  </si>
  <si>
    <t>Q31.4</t>
  </si>
  <si>
    <t>Q31.5</t>
  </si>
  <si>
    <t>Q31.6</t>
  </si>
  <si>
    <t>Q31.7</t>
  </si>
  <si>
    <t>Q32.0</t>
  </si>
  <si>
    <t>Q32.1</t>
  </si>
  <si>
    <t>Q32.2</t>
  </si>
  <si>
    <t>Q32.3</t>
  </si>
  <si>
    <t>Q32.4</t>
  </si>
  <si>
    <t>Q32.5</t>
  </si>
  <si>
    <t>Q32.6</t>
  </si>
  <si>
    <t>Q32.7</t>
  </si>
  <si>
    <t>Q33.0</t>
  </si>
  <si>
    <t>Q33.1</t>
  </si>
  <si>
    <t>Q33.2</t>
  </si>
  <si>
    <t>Q33.3</t>
  </si>
  <si>
    <t>Q33.4</t>
  </si>
  <si>
    <t>Q33.5</t>
  </si>
  <si>
    <t>Q33.6</t>
  </si>
  <si>
    <t>Q33.7</t>
  </si>
  <si>
    <t>Q34.0</t>
  </si>
  <si>
    <t>Q34.1</t>
  </si>
  <si>
    <t>Q34.2</t>
  </si>
  <si>
    <t>Q34.3</t>
  </si>
  <si>
    <t>Q34.4</t>
  </si>
  <si>
    <t>Q34.5</t>
  </si>
  <si>
    <t>Q34.6</t>
  </si>
  <si>
    <t>Q34.7</t>
  </si>
  <si>
    <t>Q35.0</t>
  </si>
  <si>
    <t>Q35.1</t>
  </si>
  <si>
    <t>Q35.2</t>
  </si>
  <si>
    <t>Q35.3</t>
  </si>
  <si>
    <t>Q35.4</t>
  </si>
  <si>
    <t>Q35.5</t>
  </si>
  <si>
    <t>Q35.6</t>
  </si>
  <si>
    <t>Q35.7</t>
  </si>
  <si>
    <t>Q36.0</t>
  </si>
  <si>
    <t>Q36.1</t>
  </si>
  <si>
    <t>Q36.2</t>
  </si>
  <si>
    <t>Q36.3</t>
  </si>
  <si>
    <t>Q36.4</t>
  </si>
  <si>
    <t>Q36.5</t>
  </si>
  <si>
    <t>Q36.6</t>
  </si>
  <si>
    <t>Q36.7</t>
  </si>
  <si>
    <t>Q37.0</t>
  </si>
  <si>
    <t>Q37.1</t>
  </si>
  <si>
    <t>Q37.2</t>
  </si>
  <si>
    <t>Q37.3</t>
  </si>
  <si>
    <t>Q37.4</t>
  </si>
  <si>
    <t>Q37.5</t>
  </si>
  <si>
    <t>Q37.6</t>
  </si>
  <si>
    <t>Q37.7</t>
  </si>
  <si>
    <t>I46.0</t>
  </si>
  <si>
    <t>I46.1</t>
  </si>
  <si>
    <t>I46.2</t>
  </si>
  <si>
    <t>I46.3</t>
  </si>
  <si>
    <t>I46.4</t>
  </si>
  <si>
    <t>I46.5</t>
  </si>
  <si>
    <t>I46.6</t>
  </si>
  <si>
    <t>I46.7</t>
  </si>
  <si>
    <t>I47.0</t>
  </si>
  <si>
    <t>I47.1</t>
  </si>
  <si>
    <t>I47.2</t>
  </si>
  <si>
    <t>I47.3</t>
  </si>
  <si>
    <t>I47.4</t>
  </si>
  <si>
    <t>I47.5</t>
  </si>
  <si>
    <t>I47.6</t>
  </si>
  <si>
    <t>I47.7</t>
  </si>
  <si>
    <t>IO Addresses</t>
  </si>
  <si>
    <t>Massoletti</t>
  </si>
  <si>
    <t>i1009.3</t>
  </si>
  <si>
    <t>i1049.3</t>
  </si>
  <si>
    <t>SAFETY SWITCH POWER SUPPLY 400V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</si>
</sst>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</font>
    <font>
      <sz val="10"/>
      <color theme="1"/>
      <name val="Arial"/>
      <family val="2"/>
    </font>
    <font>
      <sz val="11"/>
      <name val="Calibri"/>
      <family val="2"/>
      <scheme val="minor"/>
    </font>
    <font>
      <sz val="9"/>
      <name val="Arial"/>
      <family val="2"/>
    </font>
    <font>
      <sz val="9"/>
      <color theme="0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sz val="10"/>
      <name val="MS Sans Serif"/>
      <family val="2"/>
    </font>
    <font>
      <sz val="9"/>
      <color theme="1"/>
      <name val="Calibri"/>
      <family val="2"/>
    </font>
    <font>
      <sz val="12"/>
      <name val="Arial"/>
      <family val="2"/>
    </font>
    <font>
      <b/>
      <sz val="11"/>
      <name val="Calibri"/>
      <family val="2"/>
      <scheme val="minor"/>
    </font>
    <font>
      <sz val="10"/>
      <color theme="1"/>
      <name val="Calibri"/>
      <family val="2"/>
    </font>
    <font>
      <b/>
      <sz val="10"/>
      <color theme="1"/>
      <name val="Arial"/>
      <family val="2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C4D79B"/>
        <bgColor indexed="64"/>
      </patternFill>
    </fill>
    <fill>
      <patternFill patternType="solid">
        <fgColor rgb="FFB7DEE8"/>
        <bgColor indexed="64"/>
      </patternFill>
    </fill>
    <fill>
      <patternFill patternType="solid">
        <fgColor rgb="FFF2DCDB"/>
        <bgColor indexed="64"/>
      </patternFill>
    </fill>
    <fill>
      <patternFill patternType="solid">
        <fgColor rgb="FFC2D69B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2F2F2"/>
        <bgColor rgb="FFF2F2F2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/>
      <top style="thin">
        <color indexed="64"/>
      </top>
      <bottom style="thin">
        <color theme="1"/>
      </bottom>
      <diagonal/>
    </border>
    <border>
      <left/>
      <right style="thin">
        <color theme="1"/>
      </right>
      <top style="thin">
        <color indexed="64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theme="1"/>
      </bottom>
      <diagonal/>
    </border>
    <border>
      <left style="thin">
        <color theme="1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11">
    <xf numFmtId="0" fontId="0" fillId="0" borderId="0"/>
    <xf numFmtId="0" fontId="1" fillId="0" borderId="0"/>
    <xf numFmtId="0" fontId="1" fillId="0" borderId="0"/>
    <xf numFmtId="1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1" fillId="0" borderId="1"/>
    <xf numFmtId="0" fontId="1" fillId="0" borderId="1"/>
    <xf numFmtId="49" fontId="5" fillId="0" borderId="10">
      <alignment horizontal="center"/>
    </xf>
    <xf numFmtId="49" fontId="5" fillId="0" borderId="10">
      <alignment horizontal="center"/>
    </xf>
    <xf numFmtId="49" fontId="3" fillId="0" borderId="10">
      <alignment horizontal="center" vertical="center" wrapText="1"/>
    </xf>
    <xf numFmtId="49" fontId="3" fillId="0" borderId="10">
      <alignment horizontal="center" vertical="center" wrapText="1"/>
    </xf>
    <xf numFmtId="49" fontId="5" fillId="0" borderId="10"/>
    <xf numFmtId="49" fontId="5" fillId="0" borderId="10"/>
    <xf numFmtId="49" fontId="5" fillId="0" borderId="10"/>
    <xf numFmtId="49" fontId="3" fillId="0" borderId="10">
      <alignment horizontal="center" vertical="center" wrapText="1"/>
    </xf>
    <xf numFmtId="49" fontId="3" fillId="0" borderId="10">
      <alignment horizontal="center" vertical="center" wrapText="1"/>
    </xf>
    <xf numFmtId="49" fontId="5" fillId="0" borderId="10">
      <alignment horizontal="center"/>
    </xf>
    <xf numFmtId="49" fontId="5" fillId="0" borderId="10">
      <alignment horizontal="center"/>
    </xf>
    <xf numFmtId="49" fontId="5" fillId="0" borderId="10">
      <alignment horizontal="center"/>
    </xf>
    <xf numFmtId="49" fontId="5" fillId="0" borderId="10">
      <alignment horizontal="center"/>
    </xf>
    <xf numFmtId="49" fontId="5" fillId="0" borderId="10">
      <alignment horizontal="center"/>
    </xf>
    <xf numFmtId="49" fontId="5" fillId="0" borderId="10">
      <alignment horizontal="center"/>
    </xf>
    <xf numFmtId="49" fontId="5" fillId="0" borderId="10">
      <alignment horizontal="center"/>
    </xf>
    <xf numFmtId="49" fontId="5" fillId="0" borderId="10">
      <alignment horizontal="center"/>
    </xf>
    <xf numFmtId="49" fontId="5" fillId="0" borderId="10">
      <alignment horizontal="center"/>
    </xf>
    <xf numFmtId="49" fontId="5" fillId="0" borderId="10">
      <alignment horizontal="center"/>
    </xf>
    <xf numFmtId="49" fontId="5" fillId="0" borderId="10">
      <alignment horizontal="center"/>
    </xf>
    <xf numFmtId="49" fontId="5" fillId="0" borderId="10">
      <alignment horizontal="center"/>
    </xf>
    <xf numFmtId="49" fontId="5" fillId="0" borderId="8">
      <alignment horizontal="center"/>
    </xf>
    <xf numFmtId="49" fontId="4" fillId="0" borderId="12">
      <alignment horizontal="center"/>
    </xf>
    <xf numFmtId="49" fontId="4" fillId="0" borderId="13">
      <alignment horizontal="center"/>
    </xf>
    <xf numFmtId="49" fontId="5" fillId="0" borderId="10">
      <alignment horizontal="center"/>
    </xf>
    <xf numFmtId="49" fontId="5" fillId="0" borderId="10">
      <alignment horizontal="center"/>
    </xf>
    <xf numFmtId="49" fontId="3" fillId="0" borderId="10">
      <alignment horizontal="center" vertical="center" wrapText="1"/>
    </xf>
    <xf numFmtId="49" fontId="5" fillId="0" borderId="10"/>
    <xf numFmtId="49" fontId="5" fillId="0" borderId="1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" fillId="0" borderId="0"/>
    <xf numFmtId="0" fontId="6" fillId="0" borderId="0"/>
    <xf numFmtId="0" fontId="11" fillId="0" borderId="0"/>
    <xf numFmtId="0" fontId="10" fillId="0" borderId="0"/>
    <xf numFmtId="0" fontId="10" fillId="0" borderId="0"/>
    <xf numFmtId="49" fontId="5" fillId="0" borderId="10"/>
    <xf numFmtId="49" fontId="5" fillId="0" borderId="10"/>
    <xf numFmtId="49" fontId="5" fillId="0" borderId="10"/>
    <xf numFmtId="49" fontId="3" fillId="0" borderId="10">
      <alignment horizontal="center" vertical="center" wrapText="1"/>
    </xf>
    <xf numFmtId="43" fontId="1" fillId="0" borderId="0" applyFont="0" applyFill="0" applyBorder="0" applyAlignment="0" applyProtection="0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49" fontId="5" fillId="0" borderId="10">
      <alignment horizontal="center"/>
    </xf>
    <xf numFmtId="49" fontId="5" fillId="0" borderId="10">
      <alignment horizontal="center"/>
    </xf>
    <xf numFmtId="49" fontId="3" fillId="0" borderId="10">
      <alignment horizontal="center" vertical="center" wrapText="1"/>
    </xf>
    <xf numFmtId="49" fontId="5" fillId="0" borderId="10"/>
    <xf numFmtId="49" fontId="5" fillId="0" borderId="1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" fillId="0" borderId="0"/>
    <xf numFmtId="0" fontId="3" fillId="0" borderId="0"/>
    <xf numFmtId="0" fontId="2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" fillId="0" borderId="0"/>
  </cellStyleXfs>
  <cellXfs count="59">
    <xf numFmtId="0" fontId="0" fillId="0" borderId="0" xfId="0"/>
    <xf numFmtId="0" fontId="7" fillId="4" borderId="6" xfId="0" applyFont="1" applyFill="1" applyBorder="1" applyAlignment="1">
      <alignment horizontal="center" vertical="center"/>
    </xf>
    <xf numFmtId="0" fontId="8" fillId="3" borderId="8" xfId="0" applyFont="1" applyFill="1" applyBorder="1" applyAlignment="1">
      <alignment horizontal="center"/>
    </xf>
    <xf numFmtId="0" fontId="8" fillId="3" borderId="10" xfId="0" applyFont="1" applyFill="1" applyBorder="1" applyAlignment="1">
      <alignment horizontal="center"/>
    </xf>
    <xf numFmtId="0" fontId="9" fillId="8" borderId="9" xfId="0" applyFont="1" applyFill="1" applyBorder="1" applyAlignment="1">
      <alignment horizontal="center" textRotation="90"/>
    </xf>
    <xf numFmtId="0" fontId="9" fillId="7" borderId="9" xfId="0" applyFont="1" applyFill="1" applyBorder="1" applyAlignment="1">
      <alignment horizontal="center" textRotation="90"/>
    </xf>
    <xf numFmtId="0" fontId="9" fillId="6" borderId="9" xfId="0" applyFont="1" applyFill="1" applyBorder="1" applyAlignment="1">
      <alignment horizontal="center" textRotation="90"/>
    </xf>
    <xf numFmtId="0" fontId="9" fillId="5" borderId="11" xfId="0" applyFont="1" applyFill="1" applyBorder="1" applyAlignment="1">
      <alignment horizontal="center" textRotation="90"/>
    </xf>
    <xf numFmtId="0" fontId="9" fillId="6" borderId="16" xfId="0" applyFont="1" applyFill="1" applyBorder="1" applyAlignment="1">
      <alignment horizontal="center" textRotation="90"/>
    </xf>
    <xf numFmtId="0" fontId="9" fillId="0" borderId="10" xfId="0" applyFont="1" applyBorder="1" applyAlignment="1">
      <alignment horizontal="center"/>
    </xf>
    <xf numFmtId="0" fontId="9" fillId="0" borderId="9" xfId="0" applyFont="1" applyBorder="1" applyAlignment="1">
      <alignment horizontal="center" textRotation="90"/>
    </xf>
    <xf numFmtId="0" fontId="9" fillId="5" borderId="9" xfId="0" applyFont="1" applyFill="1" applyBorder="1" applyAlignment="1">
      <alignment horizontal="center" textRotation="90"/>
    </xf>
    <xf numFmtId="0" fontId="7" fillId="4" borderId="1" xfId="0" applyFont="1" applyFill="1" applyBorder="1" applyAlignment="1">
      <alignment horizontal="center" vertical="center"/>
    </xf>
    <xf numFmtId="0" fontId="9" fillId="5" borderId="19" xfId="0" applyFont="1" applyFill="1" applyBorder="1" applyAlignment="1">
      <alignment horizontal="center" vertical="center" textRotation="90"/>
    </xf>
    <xf numFmtId="0" fontId="0" fillId="0" borderId="1" xfId="0" applyBorder="1"/>
    <xf numFmtId="0" fontId="0" fillId="0" borderId="1" xfId="0" quotePrefix="1" applyBorder="1"/>
    <xf numFmtId="0" fontId="2" fillId="0" borderId="0" xfId="94"/>
    <xf numFmtId="0" fontId="2" fillId="0" borderId="1" xfId="94" applyBorder="1"/>
    <xf numFmtId="49" fontId="12" fillId="0" borderId="1" xfId="94" applyNumberFormat="1" applyFont="1" applyBorder="1"/>
    <xf numFmtId="49" fontId="2" fillId="0" borderId="1" xfId="94" applyNumberFormat="1" applyBorder="1"/>
    <xf numFmtId="0" fontId="13" fillId="0" borderId="1" xfId="94" applyFont="1" applyBorder="1"/>
    <xf numFmtId="0" fontId="2" fillId="0" borderId="0" xfId="94" applyAlignment="1">
      <alignment horizontal="center" vertical="center"/>
    </xf>
    <xf numFmtId="0" fontId="4" fillId="0" borderId="1" xfId="94" applyFont="1" applyBorder="1" applyAlignment="1">
      <alignment horizontal="center" vertical="center" wrapText="1"/>
    </xf>
    <xf numFmtId="14" fontId="4" fillId="0" borderId="6" xfId="94" applyNumberFormat="1" applyFont="1" applyBorder="1" applyAlignment="1">
      <alignment horizontal="center" vertical="center" wrapText="1"/>
    </xf>
    <xf numFmtId="0" fontId="4" fillId="0" borderId="6" xfId="94" applyFont="1" applyBorder="1" applyAlignment="1">
      <alignment horizontal="center" vertical="center" wrapText="1"/>
    </xf>
    <xf numFmtId="0" fontId="3" fillId="0" borderId="1" xfId="94" applyFont="1" applyBorder="1" applyAlignment="1">
      <alignment horizontal="center" vertical="center"/>
    </xf>
    <xf numFmtId="0" fontId="4" fillId="0" borderId="1" xfId="94" quotePrefix="1" applyFont="1" applyBorder="1" applyAlignment="1">
      <alignment horizontal="center" vertical="center" wrapText="1"/>
    </xf>
    <xf numFmtId="49" fontId="14" fillId="0" borderId="1" xfId="94" quotePrefix="1" applyNumberFormat="1" applyFont="1" applyBorder="1" applyAlignment="1">
      <alignment horizontal="center" vertical="center" wrapText="1"/>
    </xf>
    <xf numFmtId="0" fontId="15" fillId="10" borderId="1" xfId="94" applyFont="1" applyFill="1" applyBorder="1" applyAlignment="1">
      <alignment horizontal="center" vertical="center" wrapText="1"/>
    </xf>
    <xf numFmtId="49" fontId="0" fillId="0" borderId="1" xfId="0" applyNumberFormat="1" applyBorder="1"/>
    <xf numFmtId="0" fontId="0" fillId="2" borderId="1" xfId="0" applyFill="1" applyBorder="1"/>
    <xf numFmtId="0" fontId="0" fillId="0" borderId="20" xfId="0" applyBorder="1"/>
    <xf numFmtId="0" fontId="0" fillId="0" borderId="21" xfId="0" quotePrefix="1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0" fillId="0" borderId="26" xfId="0" quotePrefix="1" applyBorder="1"/>
    <xf numFmtId="0" fontId="0" fillId="0" borderId="26" xfId="0" applyBorder="1"/>
    <xf numFmtId="0" fontId="0" fillId="0" borderId="27" xfId="0" applyBorder="1"/>
    <xf numFmtId="0" fontId="15" fillId="0" borderId="0" xfId="94" applyFont="1" applyAlignment="1">
      <alignment horizontal="center" vertical="center"/>
    </xf>
    <xf numFmtId="0" fontId="2" fillId="0" borderId="0" xfId="94" applyAlignment="1">
      <alignment horizontal="center" vertical="center"/>
    </xf>
    <xf numFmtId="0" fontId="13" fillId="0" borderId="1" xfId="94" applyFont="1" applyBorder="1" applyAlignment="1">
      <alignment horizontal="center"/>
    </xf>
    <xf numFmtId="0" fontId="2" fillId="9" borderId="6" xfId="94" quotePrefix="1" applyFill="1" applyBorder="1" applyAlignment="1">
      <alignment horizontal="center"/>
    </xf>
    <xf numFmtId="0" fontId="2" fillId="9" borderId="2" xfId="94" applyFill="1" applyBorder="1" applyAlignment="1">
      <alignment horizontal="center"/>
    </xf>
    <xf numFmtId="0" fontId="2" fillId="9" borderId="7" xfId="94" applyFill="1" applyBorder="1" applyAlignment="1">
      <alignment horizontal="center"/>
    </xf>
    <xf numFmtId="0" fontId="8" fillId="0" borderId="18" xfId="0" applyFont="1" applyBorder="1" applyAlignment="1">
      <alignment horizontal="center"/>
    </xf>
    <xf numFmtId="0" fontId="8" fillId="0" borderId="17" xfId="0" applyFont="1" applyBorder="1" applyAlignment="1">
      <alignment horizontal="center"/>
    </xf>
    <xf numFmtId="0" fontId="8" fillId="0" borderId="15" xfId="0" applyFont="1" applyBorder="1" applyAlignment="1">
      <alignment horizontal="center"/>
    </xf>
    <xf numFmtId="0" fontId="7" fillId="4" borderId="5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7" fillId="4" borderId="7" xfId="0" applyFont="1" applyFill="1" applyBorder="1" applyAlignment="1">
      <alignment horizontal="center" vertical="center"/>
    </xf>
    <xf numFmtId="0" fontId="8" fillId="2" borderId="14" xfId="0" applyFont="1" applyFill="1" applyBorder="1" applyAlignment="1">
      <alignment horizontal="center"/>
    </xf>
    <xf numFmtId="0" fontId="8" fillId="2" borderId="17" xfId="0" applyFont="1" applyFill="1" applyBorder="1" applyAlignment="1">
      <alignment horizontal="center"/>
    </xf>
    <xf numFmtId="0" fontId="8" fillId="2" borderId="15" xfId="0" applyFont="1" applyFill="1" applyBorder="1" applyAlignment="1">
      <alignment horizontal="center"/>
    </xf>
  </cellXfs>
  <cellStyles count="111">
    <cellStyle name="ColStyle1" xfId="4" xr:uid="{00000000-0005-0000-0000-000000000000}"/>
    <cellStyle name="ColStyle1 2" xfId="66" xr:uid="{00000000-0005-0000-0000-000001000000}"/>
    <cellStyle name="ColStyle1 3" xfId="77" xr:uid="{00000000-0005-0000-0000-000002000000}"/>
    <cellStyle name="ColStyle1 4" xfId="30" xr:uid="{00000000-0005-0000-0000-000003000000}"/>
    <cellStyle name="ColStyle10" xfId="12" xr:uid="{00000000-0005-0000-0000-000004000000}"/>
    <cellStyle name="ColStyle10 2" xfId="65" xr:uid="{00000000-0005-0000-0000-000005000000}"/>
    <cellStyle name="ColStyle10 3" xfId="76" xr:uid="{00000000-0005-0000-0000-000006000000}"/>
    <cellStyle name="ColStyle10 4" xfId="31" xr:uid="{00000000-0005-0000-0000-000007000000}"/>
    <cellStyle name="ColStyle11" xfId="13" xr:uid="{00000000-0005-0000-0000-000008000000}"/>
    <cellStyle name="ColStyle11 2" xfId="64" xr:uid="{00000000-0005-0000-0000-000009000000}"/>
    <cellStyle name="ColStyle11 3" xfId="75" xr:uid="{00000000-0005-0000-0000-00000A000000}"/>
    <cellStyle name="ColStyle11 4" xfId="32" xr:uid="{00000000-0005-0000-0000-00000B000000}"/>
    <cellStyle name="ColStyle12" xfId="14" xr:uid="{00000000-0005-0000-0000-00000C000000}"/>
    <cellStyle name="ColStyle12 2" xfId="63" xr:uid="{00000000-0005-0000-0000-00000D000000}"/>
    <cellStyle name="ColStyle12 3" xfId="68" xr:uid="{00000000-0005-0000-0000-00000E000000}"/>
    <cellStyle name="ColStyle12 4" xfId="33" xr:uid="{00000000-0005-0000-0000-00000F000000}"/>
    <cellStyle name="ColStyle13" xfId="15" xr:uid="{00000000-0005-0000-0000-000010000000}"/>
    <cellStyle name="ColStyle13 2" xfId="34" xr:uid="{00000000-0005-0000-0000-000011000000}"/>
    <cellStyle name="ColStyle14" xfId="16" xr:uid="{00000000-0005-0000-0000-000012000000}"/>
    <cellStyle name="ColStyle14 2" xfId="35" xr:uid="{00000000-0005-0000-0000-000013000000}"/>
    <cellStyle name="ColStyle15" xfId="17" xr:uid="{00000000-0005-0000-0000-000014000000}"/>
    <cellStyle name="ColStyle15 2" xfId="36" xr:uid="{00000000-0005-0000-0000-000015000000}"/>
    <cellStyle name="ColStyle16" xfId="18" xr:uid="{00000000-0005-0000-0000-000016000000}"/>
    <cellStyle name="ColStyle16 2" xfId="37" xr:uid="{00000000-0005-0000-0000-000017000000}"/>
    <cellStyle name="ColStyle17" xfId="19" xr:uid="{00000000-0005-0000-0000-000018000000}"/>
    <cellStyle name="ColStyle17 2" xfId="38" xr:uid="{00000000-0005-0000-0000-000019000000}"/>
    <cellStyle name="ColStyle18" xfId="20" xr:uid="{00000000-0005-0000-0000-00001A000000}"/>
    <cellStyle name="ColStyle18 2" xfId="39" xr:uid="{00000000-0005-0000-0000-00001B000000}"/>
    <cellStyle name="ColStyle19" xfId="21" xr:uid="{00000000-0005-0000-0000-00001C000000}"/>
    <cellStyle name="ColStyle19 2" xfId="40" xr:uid="{00000000-0005-0000-0000-00001D000000}"/>
    <cellStyle name="ColStyle2" xfId="5" xr:uid="{00000000-0005-0000-0000-00001E000000}"/>
    <cellStyle name="ColStyle2 2" xfId="27" xr:uid="{00000000-0005-0000-0000-00001F000000}"/>
    <cellStyle name="ColStyle2 3" xfId="74" xr:uid="{00000000-0005-0000-0000-000020000000}"/>
    <cellStyle name="ColStyle2 4" xfId="41" xr:uid="{00000000-0005-0000-0000-000021000000}"/>
    <cellStyle name="ColStyle20" xfId="22" xr:uid="{00000000-0005-0000-0000-000022000000}"/>
    <cellStyle name="ColStyle20 2" xfId="42" xr:uid="{00000000-0005-0000-0000-000023000000}"/>
    <cellStyle name="ColStyle21" xfId="23" xr:uid="{00000000-0005-0000-0000-000024000000}"/>
    <cellStyle name="ColStyle21 2" xfId="43" xr:uid="{00000000-0005-0000-0000-000025000000}"/>
    <cellStyle name="ColStyle22" xfId="44" xr:uid="{00000000-0005-0000-0000-000026000000}"/>
    <cellStyle name="ColStyle23" xfId="45" xr:uid="{00000000-0005-0000-0000-000027000000}"/>
    <cellStyle name="ColStyle24" xfId="46" xr:uid="{00000000-0005-0000-0000-000028000000}"/>
    <cellStyle name="ColStyle25" xfId="47" xr:uid="{00000000-0005-0000-0000-000029000000}"/>
    <cellStyle name="ColStyle26" xfId="48" xr:uid="{00000000-0005-0000-0000-00002A000000}"/>
    <cellStyle name="ColStyle27" xfId="49" xr:uid="{00000000-0005-0000-0000-00002B000000}"/>
    <cellStyle name="ColStyle28" xfId="50" xr:uid="{00000000-0005-0000-0000-00002C000000}"/>
    <cellStyle name="ColStyle3" xfId="6" xr:uid="{00000000-0005-0000-0000-00002D000000}"/>
    <cellStyle name="ColStyle3 2" xfId="78" xr:uid="{00000000-0005-0000-0000-00002E000000}"/>
    <cellStyle name="ColStyle3 3" xfId="73" xr:uid="{00000000-0005-0000-0000-00002F000000}"/>
    <cellStyle name="ColStyle3 4" xfId="51" xr:uid="{00000000-0005-0000-0000-000030000000}"/>
    <cellStyle name="ColStyle4" xfId="7" xr:uid="{00000000-0005-0000-0000-000031000000}"/>
    <cellStyle name="ColStyle4 2" xfId="28" xr:uid="{00000000-0005-0000-0000-000032000000}"/>
    <cellStyle name="ColStyle4 3" xfId="25" xr:uid="{00000000-0005-0000-0000-000033000000}"/>
    <cellStyle name="ColStyle5" xfId="8" xr:uid="{00000000-0005-0000-0000-000034000000}"/>
    <cellStyle name="ColStyle5 2" xfId="29" xr:uid="{00000000-0005-0000-0000-000035000000}"/>
    <cellStyle name="ColStyle5 3" xfId="26" xr:uid="{00000000-0005-0000-0000-000036000000}"/>
    <cellStyle name="ColStyle6" xfId="9" xr:uid="{00000000-0005-0000-0000-000037000000}"/>
    <cellStyle name="ColStyle6 2" xfId="79" xr:uid="{00000000-0005-0000-0000-000038000000}"/>
    <cellStyle name="ColStyle6 3" xfId="72" xr:uid="{00000000-0005-0000-0000-000039000000}"/>
    <cellStyle name="ColStyle6 4" xfId="52" xr:uid="{00000000-0005-0000-0000-00003A000000}"/>
    <cellStyle name="ColStyle7" xfId="1" xr:uid="{00000000-0005-0000-0000-00003B000000}"/>
    <cellStyle name="ColStyle7 2" xfId="3" xr:uid="{00000000-0005-0000-0000-00003C000000}"/>
    <cellStyle name="ColStyle7 2 2" xfId="80" xr:uid="{00000000-0005-0000-0000-00003D000000}"/>
    <cellStyle name="ColStyle7 3" xfId="71" xr:uid="{00000000-0005-0000-0000-00003E000000}"/>
    <cellStyle name="ColStyle7 4" xfId="53" xr:uid="{00000000-0005-0000-0000-00003F000000}"/>
    <cellStyle name="ColStyle8" xfId="10" xr:uid="{00000000-0005-0000-0000-000040000000}"/>
    <cellStyle name="ColStyle8 2" xfId="81" xr:uid="{00000000-0005-0000-0000-000041000000}"/>
    <cellStyle name="ColStyle8 3" xfId="70" xr:uid="{00000000-0005-0000-0000-000042000000}"/>
    <cellStyle name="ColStyle8 4" xfId="54" xr:uid="{00000000-0005-0000-0000-000043000000}"/>
    <cellStyle name="ColStyle9" xfId="11" xr:uid="{00000000-0005-0000-0000-000044000000}"/>
    <cellStyle name="ColStyle9 2" xfId="82" xr:uid="{00000000-0005-0000-0000-000045000000}"/>
    <cellStyle name="ColStyle9 3" xfId="69" xr:uid="{00000000-0005-0000-0000-000046000000}"/>
    <cellStyle name="ColStyle9 4" xfId="55" xr:uid="{00000000-0005-0000-0000-000047000000}"/>
    <cellStyle name="Migliaia 3" xfId="56" xr:uid="{00000000-0005-0000-0000-000048000000}"/>
    <cellStyle name="Migliaia 3 2" xfId="57" xr:uid="{00000000-0005-0000-0000-000049000000}"/>
    <cellStyle name="Migliaia 3 2 2" xfId="67" xr:uid="{00000000-0005-0000-0000-00004A000000}"/>
    <cellStyle name="Migliaia 3 2 2 2" xfId="86" xr:uid="{00000000-0005-0000-0000-00004B000000}"/>
    <cellStyle name="Migliaia 3 2 2 2 2" xfId="103" xr:uid="{00000000-0005-0000-0000-00004C000000}"/>
    <cellStyle name="Migliaia 3 2 2 3" xfId="99" xr:uid="{00000000-0005-0000-0000-00004D000000}"/>
    <cellStyle name="Migliaia 3 2 3" xfId="83" xr:uid="{00000000-0005-0000-0000-00004E000000}"/>
    <cellStyle name="Migliaia 3 2 3 2" xfId="87" xr:uid="{00000000-0005-0000-0000-00004F000000}"/>
    <cellStyle name="Migliaia 3 2 3 2 2" xfId="104" xr:uid="{00000000-0005-0000-0000-000050000000}"/>
    <cellStyle name="Migliaia 3 2 3 3" xfId="100" xr:uid="{00000000-0005-0000-0000-000051000000}"/>
    <cellStyle name="Migliaia 3 2 4" xfId="84" xr:uid="{00000000-0005-0000-0000-000052000000}"/>
    <cellStyle name="Migliaia 3 2 4 2" xfId="88" xr:uid="{00000000-0005-0000-0000-000053000000}"/>
    <cellStyle name="Migliaia 3 2 4 2 2" xfId="105" xr:uid="{00000000-0005-0000-0000-000054000000}"/>
    <cellStyle name="Migliaia 3 2 4 3" xfId="101" xr:uid="{00000000-0005-0000-0000-000055000000}"/>
    <cellStyle name="Migliaia 3 2 5" xfId="85" xr:uid="{00000000-0005-0000-0000-000056000000}"/>
    <cellStyle name="Migliaia 3 2 5 2" xfId="102" xr:uid="{00000000-0005-0000-0000-000057000000}"/>
    <cellStyle name="Migliaia 3 2 6" xfId="93" xr:uid="{00000000-0005-0000-0000-000058000000}"/>
    <cellStyle name="Migliaia 3 2 6 2" xfId="109" xr:uid="{00000000-0005-0000-0000-000059000000}"/>
    <cellStyle name="Migliaia 3 2 7" xfId="98" xr:uid="{00000000-0005-0000-0000-00005A000000}"/>
    <cellStyle name="Migliaia 3 3" xfId="89" xr:uid="{00000000-0005-0000-0000-00005B000000}"/>
    <cellStyle name="Migliaia 3 3 2" xfId="106" xr:uid="{00000000-0005-0000-0000-00005C000000}"/>
    <cellStyle name="Migliaia 3 4" xfId="90" xr:uid="{00000000-0005-0000-0000-00005D000000}"/>
    <cellStyle name="Migliaia 3 4 2" xfId="107" xr:uid="{00000000-0005-0000-0000-00005E000000}"/>
    <cellStyle name="Migliaia 3 5" xfId="91" xr:uid="{00000000-0005-0000-0000-00005F000000}"/>
    <cellStyle name="Migliaia 3 5 2" xfId="108" xr:uid="{00000000-0005-0000-0000-000060000000}"/>
    <cellStyle name="Migliaia 3 6" xfId="97" xr:uid="{00000000-0005-0000-0000-000061000000}"/>
    <cellStyle name="Normal 14" xfId="58" xr:uid="{00000000-0005-0000-0000-000062000000}"/>
    <cellStyle name="Normal 2" xfId="24" xr:uid="{00000000-0005-0000-0000-000063000000}"/>
    <cellStyle name="Normal 7" xfId="2" xr:uid="{00000000-0005-0000-0000-000064000000}"/>
    <cellStyle name="Normale" xfId="0" builtinId="0"/>
    <cellStyle name="Normale 2" xfId="59" xr:uid="{00000000-0005-0000-0000-000066000000}"/>
    <cellStyle name="Normale 2 2" xfId="94" xr:uid="{00000000-0005-0000-0000-000067000000}"/>
    <cellStyle name="Normale 3" xfId="60" xr:uid="{00000000-0005-0000-0000-000068000000}"/>
    <cellStyle name="Normale 4" xfId="61" xr:uid="{00000000-0005-0000-0000-000069000000}"/>
    <cellStyle name="Normale 5" xfId="62" xr:uid="{00000000-0005-0000-0000-00006A000000}"/>
    <cellStyle name="Normale 6" xfId="95" xr:uid="{00000000-0005-0000-0000-00006B000000}"/>
    <cellStyle name="Normale 7" xfId="96" xr:uid="{00000000-0005-0000-0000-00006C000000}"/>
    <cellStyle name="Normale 7 2" xfId="110" xr:uid="{00000000-0005-0000-0000-00006D000000}"/>
    <cellStyle name="Percent 2" xfId="92" xr:uid="{00000000-0005-0000-0000-00006E000000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0070C0"/>
      <color rgb="FFAC007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9CCD6-16B2-4698-8762-3BABBDC20CF7}">
  <sheetPr codeName="Foglio2"/>
  <dimension ref="A13:E22"/>
  <sheetViews>
    <sheetView workbookViewId="0">
      <selection activeCell="D18" sqref="D18:E18"/>
    </sheetView>
  </sheetViews>
  <sheetFormatPr defaultColWidth="8.7109375" defaultRowHeight="12.75" x14ac:dyDescent="0.2"/>
  <cols>
    <col min="1" max="5" width="20.5703125" style="21" customWidth="1"/>
    <col min="6" max="16384" width="8.7109375" style="16"/>
  </cols>
  <sheetData>
    <row r="13" spans="1:5" x14ac:dyDescent="0.2">
      <c r="A13" s="41" t="s">
        <v>342</v>
      </c>
      <c r="B13" s="42"/>
      <c r="C13" s="42"/>
      <c r="D13" s="42"/>
      <c r="E13" s="42"/>
    </row>
    <row r="14" spans="1:5" x14ac:dyDescent="0.2">
      <c r="A14" s="28" t="s">
        <v>341</v>
      </c>
      <c r="B14" s="28" t="s">
        <v>340</v>
      </c>
      <c r="C14" s="28" t="s">
        <v>339</v>
      </c>
      <c r="D14" s="28" t="s">
        <v>338</v>
      </c>
      <c r="E14" s="28" t="s">
        <v>337</v>
      </c>
    </row>
    <row r="15" spans="1:5" ht="14.45" customHeight="1" x14ac:dyDescent="0.2">
      <c r="A15" s="25">
        <v>0</v>
      </c>
      <c r="B15" s="24"/>
      <c r="C15" s="23">
        <v>45693</v>
      </c>
      <c r="D15" s="26" t="s">
        <v>336</v>
      </c>
      <c r="E15" s="27" t="s">
        <v>335</v>
      </c>
    </row>
    <row r="16" spans="1:5" ht="15" x14ac:dyDescent="0.2">
      <c r="A16" s="25">
        <v>1</v>
      </c>
      <c r="B16" s="24"/>
      <c r="C16" s="23">
        <v>45734</v>
      </c>
      <c r="D16" s="26" t="s">
        <v>425</v>
      </c>
      <c r="E16" s="27" t="s">
        <v>335</v>
      </c>
    </row>
    <row r="17" spans="1:5" ht="15" x14ac:dyDescent="0.2">
      <c r="A17" s="25">
        <v>2</v>
      </c>
      <c r="B17" s="24"/>
      <c r="C17" s="23">
        <v>45775</v>
      </c>
      <c r="D17" s="26" t="s">
        <v>425</v>
      </c>
      <c r="E17" s="27" t="s">
        <v>335</v>
      </c>
    </row>
    <row r="18" spans="1:5" ht="15" x14ac:dyDescent="0.2">
      <c r="A18" s="25">
        <v>3</v>
      </c>
      <c r="B18" s="24"/>
      <c r="C18" s="23">
        <v>45842</v>
      </c>
      <c r="D18" s="26" t="s">
        <v>663</v>
      </c>
      <c r="E18" s="27" t="s">
        <v>664</v>
      </c>
    </row>
    <row r="19" spans="1:5" x14ac:dyDescent="0.2">
      <c r="A19" s="26"/>
      <c r="B19" s="24"/>
      <c r="C19" s="23"/>
      <c r="D19" s="26"/>
      <c r="E19" s="26"/>
    </row>
    <row r="20" spans="1:5" x14ac:dyDescent="0.2">
      <c r="A20" s="22"/>
      <c r="B20" s="24"/>
      <c r="C20" s="23"/>
      <c r="D20" s="22"/>
      <c r="E20" s="22"/>
    </row>
    <row r="21" spans="1:5" ht="15" x14ac:dyDescent="0.2">
      <c r="A21" s="25"/>
      <c r="B21" s="24"/>
      <c r="C21" s="23"/>
      <c r="D21" s="26"/>
      <c r="E21" s="26"/>
    </row>
    <row r="22" spans="1:5" ht="15" x14ac:dyDescent="0.2">
      <c r="A22" s="25"/>
      <c r="B22" s="24"/>
      <c r="C22" s="23"/>
      <c r="D22" s="22"/>
      <c r="E22" s="22"/>
    </row>
  </sheetData>
  <mergeCells count="1">
    <mergeCell ref="A13:E1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FDC28-C981-4833-A827-3081130E7505}">
  <sheetPr codeName="Foglio3"/>
  <dimension ref="A1:AB26"/>
  <sheetViews>
    <sheetView workbookViewId="0">
      <selection activeCell="G17" sqref="G17"/>
    </sheetView>
  </sheetViews>
  <sheetFormatPr defaultColWidth="8.7109375" defaultRowHeight="12.75" x14ac:dyDescent="0.2"/>
  <cols>
    <col min="1" max="1" width="4.140625" style="16" bestFit="1" customWidth="1"/>
    <col min="2" max="2" width="6.28515625" style="16" bestFit="1" customWidth="1"/>
    <col min="3" max="3" width="29.42578125" style="16" bestFit="1" customWidth="1"/>
    <col min="4" max="4" width="18.5703125" style="16" bestFit="1" customWidth="1"/>
    <col min="5" max="5" width="7.7109375" style="16" bestFit="1" customWidth="1"/>
    <col min="6" max="6" width="27.7109375" style="16" bestFit="1" customWidth="1"/>
    <col min="7" max="7" width="27.85546875" style="16" bestFit="1" customWidth="1"/>
    <col min="8" max="8" width="8.85546875" style="16" bestFit="1" customWidth="1"/>
    <col min="9" max="9" width="9.140625" style="16" bestFit="1" customWidth="1"/>
    <col min="10" max="10" width="8.85546875" style="16" bestFit="1" customWidth="1"/>
    <col min="11" max="11" width="9.140625" style="16" bestFit="1" customWidth="1"/>
    <col min="12" max="13" width="9.7109375" style="16" bestFit="1" customWidth="1"/>
    <col min="14" max="14" width="9.42578125" style="16" bestFit="1" customWidth="1"/>
    <col min="15" max="15" width="6.5703125" style="16" bestFit="1" customWidth="1"/>
    <col min="16" max="16" width="7.42578125" style="16" bestFit="1" customWidth="1"/>
    <col min="17" max="17" width="12.42578125" style="16" bestFit="1" customWidth="1"/>
    <col min="18" max="18" width="13.42578125" style="16" bestFit="1" customWidth="1"/>
    <col min="19" max="19" width="12" style="16" bestFit="1" customWidth="1"/>
    <col min="20" max="20" width="12.85546875" style="16" bestFit="1" customWidth="1"/>
    <col min="21" max="21" width="10.42578125" style="16" bestFit="1" customWidth="1"/>
    <col min="22" max="22" width="11.140625" style="16" bestFit="1" customWidth="1"/>
    <col min="23" max="23" width="8.140625" style="16" bestFit="1" customWidth="1"/>
    <col min="24" max="24" width="8.85546875" style="16" bestFit="1" customWidth="1"/>
    <col min="25" max="25" width="10.42578125" style="16" bestFit="1" customWidth="1"/>
    <col min="26" max="26" width="11.28515625" style="16" bestFit="1" customWidth="1"/>
    <col min="27" max="27" width="8.140625" style="16" bestFit="1" customWidth="1"/>
    <col min="28" max="28" width="9" style="16" bestFit="1" customWidth="1"/>
    <col min="29" max="16384" width="8.7109375" style="16"/>
  </cols>
  <sheetData>
    <row r="1" spans="1:28" ht="15" x14ac:dyDescent="0.25">
      <c r="A1" s="43" t="s">
        <v>334</v>
      </c>
      <c r="B1" s="43"/>
      <c r="C1" s="43"/>
      <c r="D1" s="43"/>
      <c r="E1" s="43"/>
      <c r="F1" s="43"/>
      <c r="G1" s="43"/>
      <c r="H1" s="43" t="s">
        <v>6</v>
      </c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  <c r="Y1" s="43"/>
      <c r="Z1" s="43"/>
      <c r="AA1" s="43"/>
      <c r="AB1" s="43"/>
    </row>
    <row r="2" spans="1:28" ht="15" x14ac:dyDescent="0.25">
      <c r="A2" s="20" t="s">
        <v>8</v>
      </c>
      <c r="B2" s="20" t="s">
        <v>9</v>
      </c>
      <c r="C2" s="20" t="s">
        <v>333</v>
      </c>
      <c r="D2" s="20" t="s">
        <v>12</v>
      </c>
      <c r="E2" s="20" t="s">
        <v>24</v>
      </c>
      <c r="F2" s="20" t="s">
        <v>3</v>
      </c>
      <c r="G2" s="20" t="s">
        <v>332</v>
      </c>
      <c r="H2" s="20" t="s">
        <v>331</v>
      </c>
      <c r="I2" s="20" t="s">
        <v>330</v>
      </c>
      <c r="J2" s="20" t="s">
        <v>329</v>
      </c>
      <c r="K2" s="20" t="s">
        <v>328</v>
      </c>
      <c r="L2" s="20" t="s">
        <v>327</v>
      </c>
      <c r="M2" s="20" t="s">
        <v>326</v>
      </c>
      <c r="N2" s="20" t="s">
        <v>325</v>
      </c>
      <c r="O2" s="20" t="s">
        <v>324</v>
      </c>
      <c r="P2" s="20" t="s">
        <v>323</v>
      </c>
      <c r="Q2" s="20" t="s">
        <v>322</v>
      </c>
      <c r="R2" s="20" t="s">
        <v>321</v>
      </c>
      <c r="S2" s="20" t="s">
        <v>320</v>
      </c>
      <c r="T2" s="20" t="s">
        <v>319</v>
      </c>
      <c r="U2" s="20" t="s">
        <v>318</v>
      </c>
      <c r="V2" s="20" t="s">
        <v>317</v>
      </c>
      <c r="W2" s="20" t="s">
        <v>316</v>
      </c>
      <c r="X2" s="20" t="s">
        <v>315</v>
      </c>
      <c r="Y2" s="20" t="s">
        <v>314</v>
      </c>
      <c r="Z2" s="20" t="s">
        <v>313</v>
      </c>
      <c r="AA2" s="20" t="s">
        <v>312</v>
      </c>
      <c r="AB2" s="20" t="s">
        <v>311</v>
      </c>
    </row>
    <row r="3" spans="1:28" ht="15.6" customHeight="1" x14ac:dyDescent="0.2">
      <c r="A3" s="44" t="s">
        <v>345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5"/>
      <c r="Y3" s="45"/>
      <c r="Z3" s="45"/>
      <c r="AA3" s="45"/>
      <c r="AB3" s="46"/>
    </row>
    <row r="4" spans="1:28" ht="15" x14ac:dyDescent="0.2">
      <c r="A4" s="17"/>
      <c r="B4" s="17"/>
      <c r="C4" s="19" t="s">
        <v>310</v>
      </c>
      <c r="D4" s="17"/>
      <c r="E4" s="17"/>
      <c r="F4" s="17" t="s">
        <v>348</v>
      </c>
      <c r="G4" s="18" t="s">
        <v>309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/>
      <c r="AB4" s="17"/>
    </row>
    <row r="5" spans="1:28" ht="15" x14ac:dyDescent="0.2">
      <c r="A5" s="17"/>
      <c r="B5" s="17"/>
      <c r="C5" s="19" t="s">
        <v>308</v>
      </c>
      <c r="D5" s="17"/>
      <c r="E5" s="17"/>
      <c r="F5" s="17" t="s">
        <v>349</v>
      </c>
      <c r="G5" s="18" t="s">
        <v>307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</row>
    <row r="6" spans="1:28" ht="15" x14ac:dyDescent="0.2">
      <c r="A6" s="17"/>
      <c r="B6" s="17"/>
      <c r="C6" s="19" t="s">
        <v>306</v>
      </c>
      <c r="D6" s="17"/>
      <c r="E6" s="17"/>
      <c r="F6" s="17" t="s">
        <v>350</v>
      </c>
      <c r="G6" s="18" t="s">
        <v>305</v>
      </c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</row>
    <row r="7" spans="1:28" ht="15" x14ac:dyDescent="0.2">
      <c r="A7" s="17"/>
      <c r="B7" s="17"/>
      <c r="C7" s="19" t="s">
        <v>304</v>
      </c>
      <c r="D7" s="17"/>
      <c r="E7" s="17"/>
      <c r="F7" s="17" t="s">
        <v>351</v>
      </c>
      <c r="G7" s="18" t="s">
        <v>303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</row>
    <row r="8" spans="1:28" ht="15" x14ac:dyDescent="0.2">
      <c r="A8" s="17"/>
      <c r="B8" s="17"/>
      <c r="C8" s="19" t="s">
        <v>302</v>
      </c>
      <c r="D8" s="17"/>
      <c r="E8" s="17"/>
      <c r="F8" s="17" t="s">
        <v>301</v>
      </c>
      <c r="G8" s="18" t="s">
        <v>300</v>
      </c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</row>
    <row r="9" spans="1:28" ht="15" x14ac:dyDescent="0.2">
      <c r="A9" s="17"/>
      <c r="B9" s="17"/>
      <c r="C9" s="19" t="s">
        <v>299</v>
      </c>
      <c r="D9" s="17"/>
      <c r="E9" s="17"/>
      <c r="F9" s="17" t="s">
        <v>352</v>
      </c>
      <c r="G9" s="18" t="s">
        <v>297</v>
      </c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</row>
    <row r="10" spans="1:28" ht="15" x14ac:dyDescent="0.2">
      <c r="A10" s="17"/>
      <c r="B10" s="17"/>
      <c r="C10" s="19" t="s">
        <v>298</v>
      </c>
      <c r="D10" s="17"/>
      <c r="E10" s="17"/>
      <c r="F10" s="17" t="s">
        <v>352</v>
      </c>
      <c r="G10" s="18" t="s">
        <v>297</v>
      </c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</row>
    <row r="11" spans="1:28" ht="15" x14ac:dyDescent="0.2">
      <c r="A11" s="17"/>
      <c r="B11" s="17"/>
      <c r="C11" s="19" t="s">
        <v>296</v>
      </c>
      <c r="D11" s="17"/>
      <c r="E11" s="17"/>
      <c r="F11" s="17" t="s">
        <v>428</v>
      </c>
      <c r="G11" s="18" t="s">
        <v>427</v>
      </c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</row>
    <row r="12" spans="1:28" ht="15" x14ac:dyDescent="0.2">
      <c r="A12" s="17"/>
      <c r="B12" s="17"/>
      <c r="C12" s="19" t="s">
        <v>295</v>
      </c>
      <c r="D12" s="17"/>
      <c r="E12" s="17"/>
      <c r="F12" s="17" t="s">
        <v>292</v>
      </c>
      <c r="G12" s="18" t="s">
        <v>291</v>
      </c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</row>
    <row r="13" spans="1:28" ht="15" x14ac:dyDescent="0.2">
      <c r="A13" s="17"/>
      <c r="B13" s="17"/>
      <c r="C13" s="19" t="s">
        <v>294</v>
      </c>
      <c r="D13" s="17"/>
      <c r="E13" s="17"/>
      <c r="F13" s="17" t="s">
        <v>292</v>
      </c>
      <c r="G13" s="18" t="s">
        <v>291</v>
      </c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</row>
    <row r="14" spans="1:28" ht="15" x14ac:dyDescent="0.2">
      <c r="A14" s="17"/>
      <c r="B14" s="17"/>
      <c r="C14" s="19" t="s">
        <v>293</v>
      </c>
      <c r="D14" s="17"/>
      <c r="E14" s="17"/>
      <c r="F14" s="17" t="s">
        <v>292</v>
      </c>
      <c r="G14" s="18" t="s">
        <v>291</v>
      </c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</row>
    <row r="15" spans="1:28" ht="15" x14ac:dyDescent="0.2">
      <c r="A15" s="17"/>
      <c r="B15" s="17"/>
      <c r="C15" s="19" t="s">
        <v>426</v>
      </c>
      <c r="D15" s="17"/>
      <c r="E15" s="17"/>
      <c r="F15" s="17" t="s">
        <v>292</v>
      </c>
      <c r="G15" s="18" t="s">
        <v>291</v>
      </c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</row>
    <row r="16" spans="1:28" ht="15" x14ac:dyDescent="0.2">
      <c r="A16" s="17"/>
      <c r="B16" s="17"/>
      <c r="C16" s="19" t="s">
        <v>290</v>
      </c>
      <c r="D16" s="17"/>
      <c r="E16" s="17"/>
      <c r="F16" s="17" t="s">
        <v>286</v>
      </c>
      <c r="G16" s="18" t="s">
        <v>285</v>
      </c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</row>
    <row r="17" spans="1:28" ht="15" x14ac:dyDescent="0.2">
      <c r="A17" s="17"/>
      <c r="B17" s="17"/>
      <c r="C17" s="19" t="s">
        <v>289</v>
      </c>
      <c r="D17" s="17"/>
      <c r="E17" s="17"/>
      <c r="F17" s="17" t="s">
        <v>286</v>
      </c>
      <c r="G17" s="18" t="s">
        <v>285</v>
      </c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</row>
    <row r="18" spans="1:28" ht="15" x14ac:dyDescent="0.2">
      <c r="A18" s="17"/>
      <c r="B18" s="17"/>
      <c r="C18" s="19" t="s">
        <v>288</v>
      </c>
      <c r="D18" s="17"/>
      <c r="E18" s="17"/>
      <c r="F18" s="17" t="s">
        <v>286</v>
      </c>
      <c r="G18" s="18" t="s">
        <v>285</v>
      </c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</row>
    <row r="19" spans="1:28" ht="15" x14ac:dyDescent="0.2">
      <c r="A19" s="17"/>
      <c r="B19" s="17"/>
      <c r="C19" s="19" t="s">
        <v>287</v>
      </c>
      <c r="D19" s="17"/>
      <c r="E19" s="17"/>
      <c r="F19" s="17" t="s">
        <v>286</v>
      </c>
      <c r="G19" s="18" t="s">
        <v>285</v>
      </c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</row>
    <row r="20" spans="1:28" ht="15" x14ac:dyDescent="0.2">
      <c r="A20" s="17"/>
      <c r="B20" s="17"/>
      <c r="C20" s="19" t="s">
        <v>466</v>
      </c>
      <c r="D20" s="17"/>
      <c r="E20" s="17"/>
      <c r="F20" s="17" t="s">
        <v>469</v>
      </c>
      <c r="G20" s="18" t="s">
        <v>468</v>
      </c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</row>
    <row r="21" spans="1:28" ht="15" x14ac:dyDescent="0.2">
      <c r="A21" s="17"/>
      <c r="B21" s="17"/>
      <c r="C21" s="19" t="s">
        <v>467</v>
      </c>
      <c r="D21" s="17"/>
      <c r="E21" s="17"/>
      <c r="F21" s="17" t="s">
        <v>292</v>
      </c>
      <c r="G21" s="18" t="s">
        <v>291</v>
      </c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</row>
    <row r="22" spans="1:28" x14ac:dyDescent="0.2">
      <c r="A22" s="44" t="s">
        <v>424</v>
      </c>
      <c r="B22" s="45"/>
      <c r="C22" s="45"/>
      <c r="D22" s="45"/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6"/>
    </row>
    <row r="23" spans="1:28" ht="15" x14ac:dyDescent="0.2">
      <c r="A23" s="17"/>
      <c r="B23" s="17"/>
      <c r="C23" s="19" t="s">
        <v>131</v>
      </c>
      <c r="D23" s="17" t="s">
        <v>393</v>
      </c>
      <c r="E23" s="17"/>
      <c r="F23" s="17"/>
      <c r="G23" s="18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</row>
    <row r="24" spans="1:28" ht="15" x14ac:dyDescent="0.2">
      <c r="A24" s="17"/>
      <c r="B24" s="17"/>
      <c r="C24" s="19" t="s">
        <v>135</v>
      </c>
      <c r="D24" s="17" t="s">
        <v>394</v>
      </c>
      <c r="E24" s="17"/>
      <c r="F24" s="17"/>
      <c r="G24" s="18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</row>
    <row r="25" spans="1:28" ht="15" x14ac:dyDescent="0.2">
      <c r="A25" s="17"/>
      <c r="B25" s="17"/>
      <c r="C25" s="19" t="s">
        <v>137</v>
      </c>
      <c r="D25" s="17" t="s">
        <v>395</v>
      </c>
      <c r="E25" s="17"/>
      <c r="F25" s="17"/>
      <c r="G25" s="18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</row>
    <row r="26" spans="1:28" ht="15" x14ac:dyDescent="0.2">
      <c r="A26" s="17"/>
      <c r="B26" s="17"/>
      <c r="C26" s="19" t="s">
        <v>141</v>
      </c>
      <c r="D26" s="17" t="s">
        <v>396</v>
      </c>
      <c r="E26" s="17"/>
      <c r="F26" s="17"/>
      <c r="G26" s="18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</row>
  </sheetData>
  <mergeCells count="4">
    <mergeCell ref="A1:G1"/>
    <mergeCell ref="H1:AB1"/>
    <mergeCell ref="A3:AB3"/>
    <mergeCell ref="A22:AB22"/>
  </mergeCells>
  <phoneticPr fontId="1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/>
  <dimension ref="A1:V215"/>
  <sheetViews>
    <sheetView tabSelected="1" zoomScale="70" zoomScaleNormal="70" workbookViewId="0">
      <pane ySplit="3" topLeftCell="A4" activePane="bottomLeft" state="frozen"/>
      <selection pane="bottomLeft" activeCell="A4" activeCellId="1" sqref="A173:XFD173 A4:XFD4"/>
    </sheetView>
  </sheetViews>
  <sheetFormatPr defaultRowHeight="15" x14ac:dyDescent="0.25"/>
  <cols>
    <col min="1" max="2" width="8.5703125" bestFit="1" customWidth="1"/>
    <col min="3" max="3" width="9.5703125" bestFit="1" customWidth="1"/>
    <col min="4" max="4" width="18.85546875" bestFit="1" customWidth="1"/>
    <col min="5" max="5" width="11.42578125" bestFit="1" customWidth="1"/>
    <col min="6" max="6" width="30.85546875" bestFit="1" customWidth="1"/>
    <col min="7" max="7" width="93.85546875" bestFit="1" customWidth="1"/>
    <col min="8" max="8" width="87.85546875" bestFit="1" customWidth="1"/>
    <col min="9" max="9" width="20" bestFit="1" customWidth="1"/>
    <col min="10" max="17" width="8.5703125" bestFit="1" customWidth="1"/>
    <col min="18" max="18" width="10.42578125" customWidth="1"/>
    <col min="19" max="19" width="11.5703125" bestFit="1" customWidth="1"/>
    <col min="20" max="20" width="11" bestFit="1" customWidth="1"/>
    <col min="21" max="21" width="13.7109375" bestFit="1" customWidth="1"/>
    <col min="22" max="22" width="8.5703125" bestFit="1" customWidth="1"/>
  </cols>
  <sheetData>
    <row r="1" spans="1:22" x14ac:dyDescent="0.25">
      <c r="A1" s="50" t="s">
        <v>2</v>
      </c>
      <c r="B1" s="51"/>
      <c r="C1" s="51"/>
      <c r="D1" s="51"/>
      <c r="E1" s="51"/>
      <c r="F1" s="51"/>
      <c r="G1" s="51"/>
      <c r="H1" s="51"/>
      <c r="I1" s="52"/>
      <c r="J1" s="53" t="s">
        <v>3</v>
      </c>
      <c r="K1" s="54"/>
      <c r="L1" s="54"/>
      <c r="M1" s="54"/>
      <c r="N1" s="54"/>
      <c r="O1" s="54"/>
      <c r="P1" s="55"/>
      <c r="Q1" s="53" t="s">
        <v>4</v>
      </c>
      <c r="R1" s="54"/>
      <c r="S1" s="55"/>
      <c r="T1" s="1" t="s">
        <v>5</v>
      </c>
      <c r="U1" s="12"/>
      <c r="V1" s="12"/>
    </row>
    <row r="2" spans="1:22" x14ac:dyDescent="0.25">
      <c r="A2" s="56" t="s">
        <v>7</v>
      </c>
      <c r="B2" s="57"/>
      <c r="C2" s="57"/>
      <c r="D2" s="57"/>
      <c r="E2" s="57"/>
      <c r="F2" s="58"/>
      <c r="G2" s="2" t="s">
        <v>6</v>
      </c>
      <c r="H2" s="47" t="s">
        <v>7</v>
      </c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9"/>
      <c r="U2" s="3" t="s">
        <v>6</v>
      </c>
      <c r="V2" s="9"/>
    </row>
    <row r="3" spans="1:22" ht="94.5" x14ac:dyDescent="0.25">
      <c r="A3" s="11" t="s">
        <v>8</v>
      </c>
      <c r="B3" s="11" t="s">
        <v>9</v>
      </c>
      <c r="C3" s="11" t="s">
        <v>10</v>
      </c>
      <c r="D3" s="11" t="s">
        <v>11</v>
      </c>
      <c r="E3" s="11" t="s">
        <v>12</v>
      </c>
      <c r="F3" s="11" t="s">
        <v>13</v>
      </c>
      <c r="G3" s="8" t="s">
        <v>14</v>
      </c>
      <c r="H3" s="13" t="s">
        <v>28</v>
      </c>
      <c r="I3" s="7" t="s">
        <v>15</v>
      </c>
      <c r="J3" s="5" t="s">
        <v>16</v>
      </c>
      <c r="K3" s="5" t="s">
        <v>17</v>
      </c>
      <c r="L3" s="11" t="s">
        <v>18</v>
      </c>
      <c r="M3" s="11" t="s">
        <v>19</v>
      </c>
      <c r="N3" s="11" t="s">
        <v>20</v>
      </c>
      <c r="O3" s="11" t="s">
        <v>21</v>
      </c>
      <c r="P3" s="11" t="s">
        <v>22</v>
      </c>
      <c r="Q3" s="11" t="s">
        <v>23</v>
      </c>
      <c r="R3" s="11" t="s">
        <v>24</v>
      </c>
      <c r="S3" s="11" t="s">
        <v>0</v>
      </c>
      <c r="T3" s="4" t="s">
        <v>25</v>
      </c>
      <c r="U3" s="6" t="s">
        <v>26</v>
      </c>
      <c r="V3" s="10" t="s">
        <v>29</v>
      </c>
    </row>
    <row r="4" spans="1:22" x14ac:dyDescent="0.25">
      <c r="A4" s="14" t="s">
        <v>27</v>
      </c>
      <c r="B4" s="15" t="s">
        <v>1</v>
      </c>
      <c r="C4" s="14" t="s">
        <v>47</v>
      </c>
      <c r="D4" s="14" t="s">
        <v>346</v>
      </c>
      <c r="E4" s="14"/>
      <c r="F4" s="14" t="s">
        <v>84</v>
      </c>
      <c r="G4" s="14" t="str">
        <f t="shared" ref="G4:G35" si="0">SUBSTITUTE(SUBSTITUTE(SUBSTITUTE(SUBSTITUTE(SUBSTITUTE(SUBSTITUTE(SUBSTITUTE(SUBSTITUTE(SUBSTITUTE(SUBSTITUTE(SUBSTITUTE(SUBSTITUTE(SUBSTITUTE(SUBSTITUTE(SUBSTITUTE(SUBSTITUTE(IF(LEFT(F4,1)="=",RIGHT(F4,LEN(F4)-1),F4)&amp;"_"&amp;H4," - ","_"),"-","_")," ","_"),"+","_"),":","_"),".","_"),"NT23__",""),"__","_"),"__","_"),"__","_"),"__","_"),"AE00_",""),"AE01_",""),"&amp;_",""),",",""),"/","")</f>
        <v>MCPHF11_350S1_EMERGENCY_STOP_PUSH_BUTTON_CH1</v>
      </c>
      <c r="H4" s="14" t="s">
        <v>191</v>
      </c>
      <c r="I4" s="14" t="s">
        <v>258</v>
      </c>
      <c r="J4" s="14" t="s">
        <v>30</v>
      </c>
      <c r="K4" s="14" t="s">
        <v>259</v>
      </c>
      <c r="L4" s="14" t="s">
        <v>259</v>
      </c>
      <c r="M4" s="14" t="s">
        <v>259</v>
      </c>
      <c r="N4" s="14" t="s">
        <v>259</v>
      </c>
      <c r="O4" s="14" t="s">
        <v>259</v>
      </c>
      <c r="P4" s="14" t="s">
        <v>259</v>
      </c>
      <c r="Q4" s="14" t="s">
        <v>247</v>
      </c>
      <c r="R4" s="14" t="s">
        <v>248</v>
      </c>
      <c r="S4" s="14" t="s">
        <v>30</v>
      </c>
      <c r="T4" s="30" t="s">
        <v>495</v>
      </c>
      <c r="U4" s="14"/>
      <c r="V4" s="14"/>
    </row>
    <row r="5" spans="1:22" ht="14.45" customHeight="1" x14ac:dyDescent="0.25">
      <c r="A5" s="14" t="s">
        <v>27</v>
      </c>
      <c r="B5" s="15" t="s">
        <v>1</v>
      </c>
      <c r="C5" s="14" t="s">
        <v>53</v>
      </c>
      <c r="D5" s="14" t="s">
        <v>369</v>
      </c>
      <c r="E5" s="14" t="s">
        <v>381</v>
      </c>
      <c r="F5" s="14" t="s">
        <v>145</v>
      </c>
      <c r="G5" s="14" t="str">
        <f t="shared" si="0"/>
        <v>HF11_EB002_100S1_EMERGENCY_STOP_CH1</v>
      </c>
      <c r="H5" s="14" t="s">
        <v>219</v>
      </c>
      <c r="I5" s="14" t="s">
        <v>260</v>
      </c>
      <c r="J5" s="14" t="s">
        <v>30</v>
      </c>
      <c r="K5" s="14" t="s">
        <v>259</v>
      </c>
      <c r="L5" s="14" t="s">
        <v>259</v>
      </c>
      <c r="M5" s="14" t="s">
        <v>259</v>
      </c>
      <c r="N5" s="14" t="s">
        <v>259</v>
      </c>
      <c r="O5" s="14" t="s">
        <v>259</v>
      </c>
      <c r="P5" s="14" t="s">
        <v>259</v>
      </c>
      <c r="Q5" s="14" t="s">
        <v>247</v>
      </c>
      <c r="R5" s="14" t="s">
        <v>248</v>
      </c>
      <c r="S5" s="14" t="s">
        <v>31</v>
      </c>
      <c r="T5" s="30" t="s">
        <v>496</v>
      </c>
      <c r="U5" s="14"/>
      <c r="V5" s="14"/>
    </row>
    <row r="6" spans="1:22" ht="14.45" customHeight="1" x14ac:dyDescent="0.25">
      <c r="A6" s="14" t="s">
        <v>27</v>
      </c>
      <c r="B6" s="15" t="s">
        <v>1</v>
      </c>
      <c r="C6" s="14" t="s">
        <v>53</v>
      </c>
      <c r="D6" s="14" t="s">
        <v>370</v>
      </c>
      <c r="E6" s="14" t="s">
        <v>382</v>
      </c>
      <c r="F6" s="14" t="s">
        <v>155</v>
      </c>
      <c r="G6" s="14" t="str">
        <f t="shared" si="0"/>
        <v>HF11_EB004_100S1_EMERGENCY_STOP_CH1</v>
      </c>
      <c r="H6" s="14" t="s">
        <v>219</v>
      </c>
      <c r="I6" s="14" t="s">
        <v>261</v>
      </c>
      <c r="J6" s="14" t="s">
        <v>30</v>
      </c>
      <c r="K6" s="14" t="s">
        <v>259</v>
      </c>
      <c r="L6" s="14" t="s">
        <v>259</v>
      </c>
      <c r="M6" s="14" t="s">
        <v>259</v>
      </c>
      <c r="N6" s="14" t="s">
        <v>259</v>
      </c>
      <c r="O6" s="14" t="s">
        <v>259</v>
      </c>
      <c r="P6" s="14" t="s">
        <v>259</v>
      </c>
      <c r="Q6" s="14" t="s">
        <v>247</v>
      </c>
      <c r="R6" s="14" t="s">
        <v>248</v>
      </c>
      <c r="S6" s="14" t="s">
        <v>42</v>
      </c>
      <c r="T6" s="30" t="s">
        <v>497</v>
      </c>
      <c r="U6" s="14"/>
      <c r="V6" s="14"/>
    </row>
    <row r="7" spans="1:22" ht="14.45" customHeight="1" x14ac:dyDescent="0.25">
      <c r="A7" s="14" t="s">
        <v>27</v>
      </c>
      <c r="B7" s="15" t="s">
        <v>1</v>
      </c>
      <c r="C7" s="14" t="s">
        <v>53</v>
      </c>
      <c r="D7" s="14" t="s">
        <v>371</v>
      </c>
      <c r="E7" s="14" t="s">
        <v>383</v>
      </c>
      <c r="F7" s="14" t="s">
        <v>162</v>
      </c>
      <c r="G7" s="14" t="str">
        <f t="shared" si="0"/>
        <v>HF11_MP201_100S1_EMERGENCY_STOP_CH1</v>
      </c>
      <c r="H7" s="14" t="s">
        <v>219</v>
      </c>
      <c r="I7" s="14" t="s">
        <v>262</v>
      </c>
      <c r="J7" s="14" t="s">
        <v>30</v>
      </c>
      <c r="K7" s="14" t="s">
        <v>259</v>
      </c>
      <c r="L7" s="14" t="s">
        <v>259</v>
      </c>
      <c r="M7" s="14" t="s">
        <v>259</v>
      </c>
      <c r="N7" s="14" t="s">
        <v>259</v>
      </c>
      <c r="O7" s="14" t="s">
        <v>259</v>
      </c>
      <c r="P7" s="14" t="s">
        <v>259</v>
      </c>
      <c r="Q7" s="14" t="s">
        <v>247</v>
      </c>
      <c r="R7" s="14" t="s">
        <v>248</v>
      </c>
      <c r="S7" s="14" t="s">
        <v>32</v>
      </c>
      <c r="T7" s="30" t="s">
        <v>498</v>
      </c>
      <c r="U7" s="14"/>
      <c r="V7" s="14"/>
    </row>
    <row r="8" spans="1:22" ht="14.45" customHeight="1" x14ac:dyDescent="0.25">
      <c r="A8" s="14" t="s">
        <v>27</v>
      </c>
      <c r="B8" s="15" t="s">
        <v>1</v>
      </c>
      <c r="C8" s="14" t="s">
        <v>47</v>
      </c>
      <c r="D8" s="14" t="s">
        <v>346</v>
      </c>
      <c r="E8" s="14"/>
      <c r="F8" s="14" t="s">
        <v>84</v>
      </c>
      <c r="G8" s="14" t="str">
        <f t="shared" si="0"/>
        <v>MCPHF11_350S1_EMERGENCY_STOP_PUSH_BUTTON_CH2</v>
      </c>
      <c r="H8" s="14" t="s">
        <v>238</v>
      </c>
      <c r="I8" s="14" t="s">
        <v>258</v>
      </c>
      <c r="J8" s="14" t="s">
        <v>30</v>
      </c>
      <c r="K8" s="14" t="s">
        <v>259</v>
      </c>
      <c r="L8" s="14" t="s">
        <v>259</v>
      </c>
      <c r="M8" s="14" t="s">
        <v>259</v>
      </c>
      <c r="N8" s="14" t="s">
        <v>259</v>
      </c>
      <c r="O8" s="14" t="s">
        <v>259</v>
      </c>
      <c r="P8" s="14" t="s">
        <v>259</v>
      </c>
      <c r="Q8" s="14" t="s">
        <v>247</v>
      </c>
      <c r="R8" s="14" t="s">
        <v>248</v>
      </c>
      <c r="S8" s="14" t="s">
        <v>33</v>
      </c>
      <c r="T8" s="30" t="s">
        <v>499</v>
      </c>
      <c r="U8" s="14"/>
      <c r="V8" s="14"/>
    </row>
    <row r="9" spans="1:22" ht="14.45" customHeight="1" x14ac:dyDescent="0.25">
      <c r="A9" s="14" t="s">
        <v>27</v>
      </c>
      <c r="B9" s="15" t="s">
        <v>1</v>
      </c>
      <c r="C9" s="14" t="s">
        <v>53</v>
      </c>
      <c r="D9" s="14" t="s">
        <v>369</v>
      </c>
      <c r="E9" s="14" t="s">
        <v>381</v>
      </c>
      <c r="F9" s="14" t="s">
        <v>145</v>
      </c>
      <c r="G9" s="14" t="str">
        <f t="shared" si="0"/>
        <v>HF11_EB002_100S1_EMERGENCY_STOP_CH2</v>
      </c>
      <c r="H9" s="14" t="s">
        <v>212</v>
      </c>
      <c r="I9" s="14" t="s">
        <v>260</v>
      </c>
      <c r="J9" s="14" t="s">
        <v>30</v>
      </c>
      <c r="K9" s="14" t="s">
        <v>259</v>
      </c>
      <c r="L9" s="14" t="s">
        <v>259</v>
      </c>
      <c r="M9" s="14" t="s">
        <v>259</v>
      </c>
      <c r="N9" s="14" t="s">
        <v>259</v>
      </c>
      <c r="O9" s="14" t="s">
        <v>259</v>
      </c>
      <c r="P9" s="14" t="s">
        <v>259</v>
      </c>
      <c r="Q9" s="14" t="s">
        <v>247</v>
      </c>
      <c r="R9" s="14" t="s">
        <v>248</v>
      </c>
      <c r="S9" s="14" t="s">
        <v>34</v>
      </c>
      <c r="T9" s="30" t="s">
        <v>500</v>
      </c>
      <c r="U9" s="14"/>
      <c r="V9" s="14"/>
    </row>
    <row r="10" spans="1:22" ht="14.45" customHeight="1" x14ac:dyDescent="0.25">
      <c r="A10" s="14" t="s">
        <v>27</v>
      </c>
      <c r="B10" s="15" t="s">
        <v>1</v>
      </c>
      <c r="C10" s="14" t="s">
        <v>53</v>
      </c>
      <c r="D10" s="14" t="s">
        <v>370</v>
      </c>
      <c r="E10" s="14" t="s">
        <v>382</v>
      </c>
      <c r="F10" s="14" t="s">
        <v>155</v>
      </c>
      <c r="G10" s="14" t="str">
        <f t="shared" si="0"/>
        <v>HF11_EB004_100S1_EMERGENCY_STOP_CH2</v>
      </c>
      <c r="H10" s="14" t="s">
        <v>212</v>
      </c>
      <c r="I10" s="14" t="s">
        <v>261</v>
      </c>
      <c r="J10" s="14" t="s">
        <v>30</v>
      </c>
      <c r="K10" s="14" t="s">
        <v>259</v>
      </c>
      <c r="L10" s="14" t="s">
        <v>259</v>
      </c>
      <c r="M10" s="14" t="s">
        <v>259</v>
      </c>
      <c r="N10" s="14" t="s">
        <v>259</v>
      </c>
      <c r="O10" s="14" t="s">
        <v>259</v>
      </c>
      <c r="P10" s="14" t="s">
        <v>259</v>
      </c>
      <c r="Q10" s="14" t="s">
        <v>247</v>
      </c>
      <c r="R10" s="14" t="s">
        <v>248</v>
      </c>
      <c r="S10" s="14" t="s">
        <v>35</v>
      </c>
      <c r="T10" s="30" t="s">
        <v>501</v>
      </c>
      <c r="U10" s="14"/>
      <c r="V10" s="14"/>
    </row>
    <row r="11" spans="1:22" ht="14.45" customHeight="1" x14ac:dyDescent="0.25">
      <c r="A11" s="14" t="s">
        <v>27</v>
      </c>
      <c r="B11" s="15" t="s">
        <v>1</v>
      </c>
      <c r="C11" s="14" t="s">
        <v>53</v>
      </c>
      <c r="D11" s="14" t="s">
        <v>371</v>
      </c>
      <c r="E11" s="14" t="s">
        <v>383</v>
      </c>
      <c r="F11" s="14" t="s">
        <v>162</v>
      </c>
      <c r="G11" s="14" t="str">
        <f t="shared" si="0"/>
        <v>HF11_MP201_100S1_EMERGENCY_STOP_CH2</v>
      </c>
      <c r="H11" s="14" t="s">
        <v>212</v>
      </c>
      <c r="I11" s="14" t="s">
        <v>262</v>
      </c>
      <c r="J11" s="14" t="s">
        <v>30</v>
      </c>
      <c r="K11" s="14" t="s">
        <v>259</v>
      </c>
      <c r="L11" s="14" t="s">
        <v>259</v>
      </c>
      <c r="M11" s="14" t="s">
        <v>259</v>
      </c>
      <c r="N11" s="14" t="s">
        <v>259</v>
      </c>
      <c r="O11" s="14" t="s">
        <v>259</v>
      </c>
      <c r="P11" s="14" t="s">
        <v>259</v>
      </c>
      <c r="Q11" s="14" t="s">
        <v>247</v>
      </c>
      <c r="R11" s="14" t="s">
        <v>248</v>
      </c>
      <c r="S11" s="14" t="s">
        <v>36</v>
      </c>
      <c r="T11" s="30" t="s">
        <v>502</v>
      </c>
      <c r="U11" s="14"/>
      <c r="V11" s="14"/>
    </row>
    <row r="12" spans="1:22" ht="14.45" customHeight="1" x14ac:dyDescent="0.25">
      <c r="A12" s="14" t="s">
        <v>27</v>
      </c>
      <c r="B12" s="15" t="s">
        <v>1</v>
      </c>
      <c r="C12" s="14" t="s">
        <v>53</v>
      </c>
      <c r="D12" s="14" t="s">
        <v>372</v>
      </c>
      <c r="E12" s="14" t="s">
        <v>384</v>
      </c>
      <c r="F12" s="14" t="s">
        <v>116</v>
      </c>
      <c r="G12" s="14" t="str">
        <f t="shared" si="0"/>
        <v>HF11_MP301_100S1_EMERGENCY_STOP_CH1</v>
      </c>
      <c r="H12" s="14" t="s">
        <v>219</v>
      </c>
      <c r="I12" s="14" t="s">
        <v>263</v>
      </c>
      <c r="J12" s="14" t="s">
        <v>30</v>
      </c>
      <c r="K12" s="14" t="s">
        <v>259</v>
      </c>
      <c r="L12" s="14" t="s">
        <v>259</v>
      </c>
      <c r="M12" s="14" t="s">
        <v>259</v>
      </c>
      <c r="N12" s="14" t="s">
        <v>259</v>
      </c>
      <c r="O12" s="14" t="s">
        <v>259</v>
      </c>
      <c r="P12" s="14" t="s">
        <v>259</v>
      </c>
      <c r="Q12" s="14" t="s">
        <v>247</v>
      </c>
      <c r="R12" s="14" t="s">
        <v>249</v>
      </c>
      <c r="S12" s="14" t="s">
        <v>30</v>
      </c>
      <c r="T12" s="30" t="s">
        <v>503</v>
      </c>
      <c r="U12" s="14"/>
      <c r="V12" s="14"/>
    </row>
    <row r="13" spans="1:22" ht="14.45" customHeight="1" x14ac:dyDescent="0.25">
      <c r="A13" s="14" t="s">
        <v>429</v>
      </c>
      <c r="B13" s="15" t="s">
        <v>1</v>
      </c>
      <c r="C13" s="15" t="s">
        <v>446</v>
      </c>
      <c r="D13" s="14" t="s">
        <v>451</v>
      </c>
      <c r="E13" s="14" t="s">
        <v>450</v>
      </c>
      <c r="F13" s="15" t="s">
        <v>447</v>
      </c>
      <c r="G13" s="14" t="str">
        <f t="shared" si="0"/>
        <v>HF11_EK001_100K1_SAFETY_DOOR_CLOSED_CH1</v>
      </c>
      <c r="H13" s="14" t="s">
        <v>448</v>
      </c>
      <c r="I13" s="15" t="s">
        <v>452</v>
      </c>
      <c r="J13" s="14" t="s">
        <v>30</v>
      </c>
      <c r="K13" s="14" t="s">
        <v>259</v>
      </c>
      <c r="L13" s="14" t="s">
        <v>259</v>
      </c>
      <c r="M13" s="14" t="s">
        <v>259</v>
      </c>
      <c r="N13" s="14" t="s">
        <v>259</v>
      </c>
      <c r="O13" s="14" t="s">
        <v>259</v>
      </c>
      <c r="P13" s="14" t="s">
        <v>259</v>
      </c>
      <c r="Q13" s="14" t="s">
        <v>247</v>
      </c>
      <c r="R13" s="14" t="s">
        <v>249</v>
      </c>
      <c r="S13" s="14" t="s">
        <v>31</v>
      </c>
      <c r="T13" s="30" t="s">
        <v>504</v>
      </c>
      <c r="U13" s="14"/>
      <c r="V13" s="14"/>
    </row>
    <row r="14" spans="1:22" ht="14.45" customHeight="1" x14ac:dyDescent="0.25">
      <c r="A14" s="14" t="s">
        <v>460</v>
      </c>
      <c r="B14" s="15" t="s">
        <v>1</v>
      </c>
      <c r="C14" s="14"/>
      <c r="D14" s="14"/>
      <c r="E14" s="14" t="s">
        <v>456</v>
      </c>
      <c r="F14" s="15" t="s">
        <v>457</v>
      </c>
      <c r="G14" s="14" t="str">
        <f t="shared" si="0"/>
        <v>HF11_XR003_CD003_EMERGENCY_FROM_XRAY</v>
      </c>
      <c r="H14" s="14" t="s">
        <v>458</v>
      </c>
      <c r="I14" s="15" t="s">
        <v>459</v>
      </c>
      <c r="J14" s="14" t="s">
        <v>30</v>
      </c>
      <c r="K14" s="14" t="s">
        <v>259</v>
      </c>
      <c r="L14" s="14" t="s">
        <v>259</v>
      </c>
      <c r="M14" s="14" t="s">
        <v>259</v>
      </c>
      <c r="N14" s="14" t="s">
        <v>259</v>
      </c>
      <c r="O14" s="14" t="s">
        <v>259</v>
      </c>
      <c r="P14" s="14" t="s">
        <v>259</v>
      </c>
      <c r="Q14" s="14" t="s">
        <v>247</v>
      </c>
      <c r="R14" s="14" t="s">
        <v>249</v>
      </c>
      <c r="S14" s="14" t="s">
        <v>42</v>
      </c>
      <c r="T14" s="30" t="s">
        <v>505</v>
      </c>
      <c r="U14" s="14"/>
      <c r="V14" s="14"/>
    </row>
    <row r="15" spans="1:22" ht="14.45" customHeight="1" x14ac:dyDescent="0.25">
      <c r="A15" s="14" t="s">
        <v>429</v>
      </c>
      <c r="B15" s="15" t="s">
        <v>1</v>
      </c>
      <c r="C15" s="14" t="s">
        <v>264</v>
      </c>
      <c r="D15" s="14"/>
      <c r="E15" s="14" t="s">
        <v>259</v>
      </c>
      <c r="F15" s="15" t="s">
        <v>95</v>
      </c>
      <c r="G15" s="14" t="str">
        <f t="shared" si="0"/>
        <v>MCPHF11_351X3_2_SPARE</v>
      </c>
      <c r="H15" s="14" t="s">
        <v>192</v>
      </c>
      <c r="I15" s="14" t="s">
        <v>259</v>
      </c>
      <c r="J15" s="14" t="s">
        <v>30</v>
      </c>
      <c r="K15" s="14" t="s">
        <v>259</v>
      </c>
      <c r="L15" s="14" t="s">
        <v>259</v>
      </c>
      <c r="M15" s="14" t="s">
        <v>259</v>
      </c>
      <c r="N15" s="14" t="s">
        <v>259</v>
      </c>
      <c r="O15" s="14" t="s">
        <v>259</v>
      </c>
      <c r="P15" s="14" t="s">
        <v>259</v>
      </c>
      <c r="Q15" s="14" t="s">
        <v>247</v>
      </c>
      <c r="R15" s="14" t="s">
        <v>249</v>
      </c>
      <c r="S15" s="14" t="s">
        <v>32</v>
      </c>
      <c r="T15" s="30" t="s">
        <v>506</v>
      </c>
      <c r="U15" s="14"/>
      <c r="V15" s="14"/>
    </row>
    <row r="16" spans="1:22" ht="14.45" customHeight="1" x14ac:dyDescent="0.25">
      <c r="A16" s="14" t="s">
        <v>27</v>
      </c>
      <c r="B16" s="15" t="s">
        <v>1</v>
      </c>
      <c r="C16" s="14" t="s">
        <v>53</v>
      </c>
      <c r="D16" s="14" t="s">
        <v>372</v>
      </c>
      <c r="E16" s="14" t="s">
        <v>384</v>
      </c>
      <c r="F16" s="14" t="s">
        <v>116</v>
      </c>
      <c r="G16" s="14" t="str">
        <f t="shared" si="0"/>
        <v>HF11_MP301_100S1_EMERGENCY_STOP_CH2</v>
      </c>
      <c r="H16" s="14" t="s">
        <v>212</v>
      </c>
      <c r="I16" s="14" t="s">
        <v>263</v>
      </c>
      <c r="J16" s="14" t="s">
        <v>30</v>
      </c>
      <c r="K16" s="14" t="s">
        <v>259</v>
      </c>
      <c r="L16" s="14" t="s">
        <v>259</v>
      </c>
      <c r="M16" s="14" t="s">
        <v>259</v>
      </c>
      <c r="N16" s="14" t="s">
        <v>259</v>
      </c>
      <c r="O16" s="14" t="s">
        <v>259</v>
      </c>
      <c r="P16" s="14" t="s">
        <v>259</v>
      </c>
      <c r="Q16" s="14" t="s">
        <v>247</v>
      </c>
      <c r="R16" s="14" t="s">
        <v>249</v>
      </c>
      <c r="S16" s="14" t="s">
        <v>33</v>
      </c>
      <c r="T16" s="30" t="s">
        <v>507</v>
      </c>
      <c r="U16" s="14"/>
      <c r="V16" s="14"/>
    </row>
    <row r="17" spans="1:22" ht="14.45" customHeight="1" x14ac:dyDescent="0.25">
      <c r="A17" s="14" t="s">
        <v>429</v>
      </c>
      <c r="B17" s="15" t="s">
        <v>1</v>
      </c>
      <c r="C17" s="15" t="s">
        <v>446</v>
      </c>
      <c r="D17" s="14" t="s">
        <v>451</v>
      </c>
      <c r="E17" s="14" t="s">
        <v>450</v>
      </c>
      <c r="F17" s="15" t="s">
        <v>447</v>
      </c>
      <c r="G17" s="14" t="str">
        <f t="shared" si="0"/>
        <v>HF11_EK001_100K1_SAFETY_DOOR_CLOSED_CH2</v>
      </c>
      <c r="H17" s="14" t="s">
        <v>449</v>
      </c>
      <c r="I17" s="15" t="s">
        <v>452</v>
      </c>
      <c r="J17" s="14" t="s">
        <v>30</v>
      </c>
      <c r="K17" s="14" t="s">
        <v>259</v>
      </c>
      <c r="L17" s="14" t="s">
        <v>259</v>
      </c>
      <c r="M17" s="14" t="s">
        <v>259</v>
      </c>
      <c r="N17" s="14" t="s">
        <v>259</v>
      </c>
      <c r="O17" s="14" t="s">
        <v>259</v>
      </c>
      <c r="P17" s="14" t="s">
        <v>259</v>
      </c>
      <c r="Q17" s="14" t="s">
        <v>247</v>
      </c>
      <c r="R17" s="14" t="s">
        <v>249</v>
      </c>
      <c r="S17" s="14" t="s">
        <v>34</v>
      </c>
      <c r="T17" s="30" t="s">
        <v>508</v>
      </c>
      <c r="U17" s="14"/>
      <c r="V17" s="14"/>
    </row>
    <row r="18" spans="1:22" ht="14.45" customHeight="1" x14ac:dyDescent="0.25">
      <c r="A18" s="14" t="s">
        <v>429</v>
      </c>
      <c r="B18" s="15" t="s">
        <v>1</v>
      </c>
      <c r="C18" s="14" t="s">
        <v>265</v>
      </c>
      <c r="D18" s="14"/>
      <c r="E18" s="14" t="s">
        <v>259</v>
      </c>
      <c r="F18" s="14" t="s">
        <v>133</v>
      </c>
      <c r="G18" s="14" t="str">
        <f t="shared" si="0"/>
        <v>MCPHF11_351X3_4_SPARE</v>
      </c>
      <c r="H18" s="14" t="s">
        <v>192</v>
      </c>
      <c r="I18" s="14" t="s">
        <v>259</v>
      </c>
      <c r="J18" s="14" t="s">
        <v>30</v>
      </c>
      <c r="K18" s="14" t="s">
        <v>259</v>
      </c>
      <c r="L18" s="14" t="s">
        <v>259</v>
      </c>
      <c r="M18" s="14" t="s">
        <v>259</v>
      </c>
      <c r="N18" s="14" t="s">
        <v>259</v>
      </c>
      <c r="O18" s="14" t="s">
        <v>259</v>
      </c>
      <c r="P18" s="14" t="s">
        <v>259</v>
      </c>
      <c r="Q18" s="14" t="s">
        <v>247</v>
      </c>
      <c r="R18" s="14" t="s">
        <v>249</v>
      </c>
      <c r="S18" s="14" t="s">
        <v>35</v>
      </c>
      <c r="T18" s="30" t="s">
        <v>509</v>
      </c>
      <c r="U18" s="14"/>
      <c r="V18" s="14"/>
    </row>
    <row r="19" spans="1:22" ht="14.45" customHeight="1" x14ac:dyDescent="0.25">
      <c r="A19" s="14" t="s">
        <v>429</v>
      </c>
      <c r="B19" s="15" t="s">
        <v>1</v>
      </c>
      <c r="C19" s="14" t="s">
        <v>266</v>
      </c>
      <c r="D19" s="14"/>
      <c r="E19" s="14" t="s">
        <v>259</v>
      </c>
      <c r="F19" s="14" t="s">
        <v>136</v>
      </c>
      <c r="G19" s="14" t="str">
        <f t="shared" si="0"/>
        <v>MCPHF11_351X4_4_SPARE</v>
      </c>
      <c r="H19" s="14" t="s">
        <v>192</v>
      </c>
      <c r="I19" s="14" t="s">
        <v>259</v>
      </c>
      <c r="J19" s="14" t="s">
        <v>30</v>
      </c>
      <c r="K19" s="14" t="s">
        <v>259</v>
      </c>
      <c r="L19" s="14" t="s">
        <v>259</v>
      </c>
      <c r="M19" s="14" t="s">
        <v>259</v>
      </c>
      <c r="N19" s="14" t="s">
        <v>259</v>
      </c>
      <c r="O19" s="14" t="s">
        <v>259</v>
      </c>
      <c r="P19" s="14" t="s">
        <v>259</v>
      </c>
      <c r="Q19" s="14" t="s">
        <v>247</v>
      </c>
      <c r="R19" s="14" t="s">
        <v>249</v>
      </c>
      <c r="S19" s="14" t="s">
        <v>36</v>
      </c>
      <c r="T19" s="30" t="s">
        <v>510</v>
      </c>
      <c r="U19" s="14"/>
      <c r="V19" s="14"/>
    </row>
    <row r="20" spans="1:22" ht="14.45" customHeight="1" x14ac:dyDescent="0.25">
      <c r="A20" s="14" t="s">
        <v>429</v>
      </c>
      <c r="B20" s="15" t="s">
        <v>1</v>
      </c>
      <c r="C20" s="29" t="s">
        <v>443</v>
      </c>
      <c r="D20" s="14" t="s">
        <v>346</v>
      </c>
      <c r="E20" s="14"/>
      <c r="F20" s="29" t="s">
        <v>444</v>
      </c>
      <c r="G20" s="29" t="str">
        <f t="shared" si="0"/>
        <v>MCPHF11_400K1_SOLENOID_CONTROL_DOOR</v>
      </c>
      <c r="H20" s="14" t="s">
        <v>445</v>
      </c>
      <c r="I20" s="14"/>
      <c r="J20" s="14"/>
      <c r="K20" s="14" t="s">
        <v>30</v>
      </c>
      <c r="L20" s="14"/>
      <c r="M20" s="14"/>
      <c r="N20" s="14"/>
      <c r="O20" s="14"/>
      <c r="P20" s="14"/>
      <c r="Q20" s="14" t="s">
        <v>247</v>
      </c>
      <c r="R20" s="14" t="s">
        <v>253</v>
      </c>
      <c r="S20" s="14" t="s">
        <v>30</v>
      </c>
      <c r="T20" s="30" t="s">
        <v>511</v>
      </c>
      <c r="U20" s="14"/>
      <c r="V20" s="14"/>
    </row>
    <row r="21" spans="1:22" ht="14.45" customHeight="1" x14ac:dyDescent="0.25">
      <c r="A21" s="14" t="s">
        <v>429</v>
      </c>
      <c r="B21" s="15" t="s">
        <v>1</v>
      </c>
      <c r="C21" s="29" t="s">
        <v>461</v>
      </c>
      <c r="D21" s="14" t="s">
        <v>346</v>
      </c>
      <c r="E21" s="14"/>
      <c r="F21" s="29" t="s">
        <v>462</v>
      </c>
      <c r="G21" s="29" t="str">
        <f t="shared" si="0"/>
        <v>MCPHF11_400K2_EMERGENCY_FROM_BHS</v>
      </c>
      <c r="H21" s="14" t="s">
        <v>463</v>
      </c>
      <c r="I21" s="14"/>
      <c r="J21" s="14"/>
      <c r="K21" s="14" t="s">
        <v>30</v>
      </c>
      <c r="L21" s="14"/>
      <c r="M21" s="14"/>
      <c r="N21" s="14"/>
      <c r="O21" s="14"/>
      <c r="P21" s="14"/>
      <c r="Q21" s="14" t="s">
        <v>247</v>
      </c>
      <c r="R21" s="14" t="s">
        <v>253</v>
      </c>
      <c r="S21" s="14" t="s">
        <v>31</v>
      </c>
      <c r="T21" s="30" t="s">
        <v>512</v>
      </c>
      <c r="U21" s="14"/>
      <c r="V21" s="14"/>
    </row>
    <row r="22" spans="1:22" ht="14.45" customHeight="1" x14ac:dyDescent="0.25">
      <c r="A22" s="14" t="s">
        <v>429</v>
      </c>
      <c r="B22" s="15" t="s">
        <v>1</v>
      </c>
      <c r="C22" s="29" t="s">
        <v>431</v>
      </c>
      <c r="D22" s="14"/>
      <c r="E22" s="14"/>
      <c r="F22" s="29" t="s">
        <v>437</v>
      </c>
      <c r="G22" s="29" t="str">
        <f t="shared" si="0"/>
        <v>MCPHF11_400X1_1_SPARE</v>
      </c>
      <c r="H22" s="14" t="s">
        <v>192</v>
      </c>
      <c r="I22" s="14"/>
      <c r="J22" s="14"/>
      <c r="K22" s="14" t="s">
        <v>30</v>
      </c>
      <c r="L22" s="14"/>
      <c r="M22" s="14"/>
      <c r="N22" s="14"/>
      <c r="O22" s="14"/>
      <c r="P22" s="14"/>
      <c r="Q22" s="14" t="s">
        <v>247</v>
      </c>
      <c r="R22" s="14" t="s">
        <v>253</v>
      </c>
      <c r="S22" s="14" t="s">
        <v>42</v>
      </c>
      <c r="T22" s="30" t="s">
        <v>513</v>
      </c>
      <c r="U22" s="14"/>
      <c r="V22" s="14"/>
    </row>
    <row r="23" spans="1:22" ht="14.45" customHeight="1" x14ac:dyDescent="0.25">
      <c r="A23" s="14" t="s">
        <v>429</v>
      </c>
      <c r="B23" s="15" t="s">
        <v>1</v>
      </c>
      <c r="C23" s="29" t="s">
        <v>432</v>
      </c>
      <c r="D23" s="14"/>
      <c r="E23" s="14"/>
      <c r="F23" s="29" t="s">
        <v>438</v>
      </c>
      <c r="G23" s="29" t="str">
        <f t="shared" si="0"/>
        <v>MCPHF11_400X1_3_SPARE</v>
      </c>
      <c r="H23" s="14" t="s">
        <v>192</v>
      </c>
      <c r="I23" s="14"/>
      <c r="J23" s="14"/>
      <c r="K23" s="14" t="s">
        <v>30</v>
      </c>
      <c r="L23" s="14"/>
      <c r="M23" s="14"/>
      <c r="N23" s="14"/>
      <c r="O23" s="14"/>
      <c r="P23" s="14"/>
      <c r="Q23" s="14" t="s">
        <v>247</v>
      </c>
      <c r="R23" s="14" t="s">
        <v>253</v>
      </c>
      <c r="S23" s="14" t="s">
        <v>32</v>
      </c>
      <c r="T23" s="30" t="s">
        <v>514</v>
      </c>
      <c r="U23" s="14"/>
      <c r="V23" s="14"/>
    </row>
    <row r="24" spans="1:22" ht="14.45" customHeight="1" x14ac:dyDescent="0.25">
      <c r="A24" s="14" t="s">
        <v>429</v>
      </c>
      <c r="B24" s="15" t="s">
        <v>1</v>
      </c>
      <c r="C24" s="29" t="s">
        <v>433</v>
      </c>
      <c r="D24" s="14"/>
      <c r="E24" s="14"/>
      <c r="F24" s="29" t="s">
        <v>439</v>
      </c>
      <c r="G24" s="29" t="str">
        <f t="shared" si="0"/>
        <v>MCPHF11_400X1_5_SPARE</v>
      </c>
      <c r="H24" s="14" t="s">
        <v>192</v>
      </c>
      <c r="I24" s="14"/>
      <c r="J24" s="14"/>
      <c r="K24" s="14" t="s">
        <v>30</v>
      </c>
      <c r="L24" s="14"/>
      <c r="M24" s="14"/>
      <c r="N24" s="14"/>
      <c r="O24" s="14"/>
      <c r="P24" s="14"/>
      <c r="Q24" s="14" t="s">
        <v>247</v>
      </c>
      <c r="R24" s="14" t="s">
        <v>253</v>
      </c>
      <c r="S24" s="14" t="s">
        <v>33</v>
      </c>
      <c r="T24" s="30" t="s">
        <v>515</v>
      </c>
      <c r="U24" s="14"/>
      <c r="V24" s="14"/>
    </row>
    <row r="25" spans="1:22" ht="14.45" customHeight="1" x14ac:dyDescent="0.25">
      <c r="A25" s="14" t="s">
        <v>429</v>
      </c>
      <c r="B25" s="15" t="s">
        <v>1</v>
      </c>
      <c r="C25" s="29" t="s">
        <v>434</v>
      </c>
      <c r="D25" s="14"/>
      <c r="E25" s="14"/>
      <c r="F25" s="29" t="s">
        <v>440</v>
      </c>
      <c r="G25" s="29" t="str">
        <f t="shared" si="0"/>
        <v>MCPHF11_400X1_7_SPARE</v>
      </c>
      <c r="H25" s="14" t="s">
        <v>192</v>
      </c>
      <c r="I25" s="14"/>
      <c r="J25" s="14"/>
      <c r="K25" s="14" t="s">
        <v>30</v>
      </c>
      <c r="L25" s="14"/>
      <c r="M25" s="14"/>
      <c r="N25" s="14"/>
      <c r="O25" s="14"/>
      <c r="P25" s="14"/>
      <c r="Q25" s="14" t="s">
        <v>247</v>
      </c>
      <c r="R25" s="14" t="s">
        <v>253</v>
      </c>
      <c r="S25" s="14" t="s">
        <v>34</v>
      </c>
      <c r="T25" s="30" t="s">
        <v>516</v>
      </c>
      <c r="U25" s="14"/>
      <c r="V25" s="14"/>
    </row>
    <row r="26" spans="1:22" ht="14.45" customHeight="1" x14ac:dyDescent="0.25">
      <c r="A26" s="14" t="s">
        <v>429</v>
      </c>
      <c r="B26" s="15" t="s">
        <v>1</v>
      </c>
      <c r="C26" s="29" t="s">
        <v>435</v>
      </c>
      <c r="D26" s="14"/>
      <c r="E26" s="14"/>
      <c r="F26" s="29" t="s">
        <v>441</v>
      </c>
      <c r="G26" s="29" t="str">
        <f t="shared" si="0"/>
        <v>MCPHF11_400X1_9_SPARE</v>
      </c>
      <c r="H26" s="14" t="s">
        <v>192</v>
      </c>
      <c r="I26" s="14"/>
      <c r="J26" s="14"/>
      <c r="K26" s="14" t="s">
        <v>30</v>
      </c>
      <c r="L26" s="14"/>
      <c r="M26" s="14"/>
      <c r="N26" s="14"/>
      <c r="O26" s="14"/>
      <c r="P26" s="14"/>
      <c r="Q26" s="14" t="s">
        <v>247</v>
      </c>
      <c r="R26" s="14" t="s">
        <v>253</v>
      </c>
      <c r="S26" s="14" t="s">
        <v>35</v>
      </c>
      <c r="T26" s="30" t="s">
        <v>517</v>
      </c>
      <c r="U26" s="14"/>
      <c r="V26" s="14"/>
    </row>
    <row r="27" spans="1:22" ht="14.45" customHeight="1" x14ac:dyDescent="0.25">
      <c r="A27" s="14" t="s">
        <v>429</v>
      </c>
      <c r="B27" s="15" t="s">
        <v>1</v>
      </c>
      <c r="C27" s="29" t="s">
        <v>436</v>
      </c>
      <c r="D27" s="14"/>
      <c r="E27" s="14"/>
      <c r="F27" s="29" t="s">
        <v>442</v>
      </c>
      <c r="G27" s="29" t="str">
        <f t="shared" si="0"/>
        <v>MCPHF11_400X1_11_SPARE</v>
      </c>
      <c r="H27" s="14" t="s">
        <v>192</v>
      </c>
      <c r="I27" s="14"/>
      <c r="J27" s="14"/>
      <c r="K27" s="14" t="s">
        <v>30</v>
      </c>
      <c r="L27" s="14"/>
      <c r="M27" s="14"/>
      <c r="N27" s="14"/>
      <c r="O27" s="14"/>
      <c r="P27" s="14"/>
      <c r="Q27" s="14" t="s">
        <v>247</v>
      </c>
      <c r="R27" s="14" t="s">
        <v>253</v>
      </c>
      <c r="S27" s="14" t="s">
        <v>36</v>
      </c>
      <c r="T27" s="30" t="s">
        <v>518</v>
      </c>
      <c r="U27" s="14"/>
      <c r="V27" s="14"/>
    </row>
    <row r="28" spans="1:22" ht="14.45" customHeight="1" x14ac:dyDescent="0.25">
      <c r="A28" s="14" t="s">
        <v>429</v>
      </c>
      <c r="B28" s="15" t="s">
        <v>1</v>
      </c>
      <c r="C28" s="14" t="s">
        <v>65</v>
      </c>
      <c r="D28" s="14" t="s">
        <v>346</v>
      </c>
      <c r="E28" s="14"/>
      <c r="F28" s="14" t="s">
        <v>138</v>
      </c>
      <c r="G28" s="14" t="str">
        <f t="shared" si="0"/>
        <v>MCPHF11_450S1_EMERGENCY_RESET</v>
      </c>
      <c r="H28" s="14" t="s">
        <v>216</v>
      </c>
      <c r="I28" s="14" t="s">
        <v>258</v>
      </c>
      <c r="J28" s="14" t="s">
        <v>259</v>
      </c>
      <c r="K28" s="14" t="s">
        <v>259</v>
      </c>
      <c r="L28" s="14" t="s">
        <v>30</v>
      </c>
      <c r="M28" s="14" t="s">
        <v>259</v>
      </c>
      <c r="N28" s="14" t="s">
        <v>259</v>
      </c>
      <c r="O28" s="14" t="s">
        <v>259</v>
      </c>
      <c r="P28" s="14" t="s">
        <v>259</v>
      </c>
      <c r="Q28" s="14" t="s">
        <v>247</v>
      </c>
      <c r="R28" s="14" t="s">
        <v>254</v>
      </c>
      <c r="S28" s="14" t="s">
        <v>30</v>
      </c>
      <c r="T28" s="14" t="s">
        <v>519</v>
      </c>
      <c r="U28" s="14"/>
      <c r="V28" s="14"/>
    </row>
    <row r="29" spans="1:22" ht="14.45" customHeight="1" x14ac:dyDescent="0.25">
      <c r="A29" s="14" t="s">
        <v>429</v>
      </c>
      <c r="B29" s="15" t="s">
        <v>1</v>
      </c>
      <c r="C29" s="14" t="s">
        <v>67</v>
      </c>
      <c r="D29" s="14" t="s">
        <v>346</v>
      </c>
      <c r="E29" s="14"/>
      <c r="F29" s="14" t="s">
        <v>142</v>
      </c>
      <c r="G29" s="14" t="str">
        <f t="shared" si="0"/>
        <v>MCPHF11_450S2_FAULT_ACKNOWLEDGMENT</v>
      </c>
      <c r="H29" s="14" t="s">
        <v>218</v>
      </c>
      <c r="I29" s="14" t="s">
        <v>258</v>
      </c>
      <c r="J29" s="14" t="s">
        <v>259</v>
      </c>
      <c r="K29" s="14" t="s">
        <v>259</v>
      </c>
      <c r="L29" s="14" t="s">
        <v>30</v>
      </c>
      <c r="M29" s="14" t="s">
        <v>259</v>
      </c>
      <c r="N29" s="14" t="s">
        <v>259</v>
      </c>
      <c r="O29" s="14" t="s">
        <v>259</v>
      </c>
      <c r="P29" s="14" t="s">
        <v>259</v>
      </c>
      <c r="Q29" s="14" t="s">
        <v>247</v>
      </c>
      <c r="R29" s="14" t="s">
        <v>254</v>
      </c>
      <c r="S29" s="14" t="s">
        <v>31</v>
      </c>
      <c r="T29" s="14" t="s">
        <v>520</v>
      </c>
      <c r="U29" s="14"/>
      <c r="V29" s="14"/>
    </row>
    <row r="30" spans="1:22" ht="14.45" customHeight="1" x14ac:dyDescent="0.25">
      <c r="A30" s="14" t="s">
        <v>429</v>
      </c>
      <c r="B30" s="15" t="s">
        <v>1</v>
      </c>
      <c r="C30" s="14" t="s">
        <v>267</v>
      </c>
      <c r="D30" s="14"/>
      <c r="E30" s="14" t="s">
        <v>259</v>
      </c>
      <c r="F30" s="14" t="s">
        <v>144</v>
      </c>
      <c r="G30" s="14" t="str">
        <f t="shared" si="0"/>
        <v>MCPHF11_450X1_2_SPARE</v>
      </c>
      <c r="H30" s="14" t="s">
        <v>192</v>
      </c>
      <c r="I30" s="14" t="s">
        <v>259</v>
      </c>
      <c r="J30" s="14" t="s">
        <v>259</v>
      </c>
      <c r="K30" s="14" t="s">
        <v>259</v>
      </c>
      <c r="L30" s="14" t="s">
        <v>30</v>
      </c>
      <c r="M30" s="14" t="s">
        <v>259</v>
      </c>
      <c r="N30" s="14" t="s">
        <v>259</v>
      </c>
      <c r="O30" s="14" t="s">
        <v>259</v>
      </c>
      <c r="P30" s="14" t="s">
        <v>259</v>
      </c>
      <c r="Q30" s="14" t="s">
        <v>247</v>
      </c>
      <c r="R30" s="14" t="s">
        <v>254</v>
      </c>
      <c r="S30" s="14" t="s">
        <v>42</v>
      </c>
      <c r="T30" s="14" t="s">
        <v>521</v>
      </c>
      <c r="U30" s="14"/>
      <c r="V30" s="14"/>
    </row>
    <row r="31" spans="1:22" ht="14.45" customHeight="1" x14ac:dyDescent="0.25">
      <c r="A31" s="14" t="s">
        <v>429</v>
      </c>
      <c r="B31" s="15" t="s">
        <v>1</v>
      </c>
      <c r="C31" s="14" t="s">
        <v>268</v>
      </c>
      <c r="D31" s="14"/>
      <c r="E31" s="14" t="s">
        <v>259</v>
      </c>
      <c r="F31" s="14" t="s">
        <v>146</v>
      </c>
      <c r="G31" s="14" t="str">
        <f t="shared" si="0"/>
        <v>MCPHF11_450X1_4_SPARE</v>
      </c>
      <c r="H31" s="14" t="s">
        <v>192</v>
      </c>
      <c r="I31" s="14" t="s">
        <v>259</v>
      </c>
      <c r="J31" s="14" t="s">
        <v>259</v>
      </c>
      <c r="K31" s="14" t="s">
        <v>259</v>
      </c>
      <c r="L31" s="14" t="s">
        <v>30</v>
      </c>
      <c r="M31" s="14" t="s">
        <v>259</v>
      </c>
      <c r="N31" s="14" t="s">
        <v>259</v>
      </c>
      <c r="O31" s="14" t="s">
        <v>259</v>
      </c>
      <c r="P31" s="14" t="s">
        <v>259</v>
      </c>
      <c r="Q31" s="14" t="s">
        <v>247</v>
      </c>
      <c r="R31" s="14" t="s">
        <v>254</v>
      </c>
      <c r="S31" s="14" t="s">
        <v>32</v>
      </c>
      <c r="T31" s="14" t="s">
        <v>522</v>
      </c>
      <c r="U31" s="14"/>
      <c r="V31" s="14"/>
    </row>
    <row r="32" spans="1:22" ht="14.45" customHeight="1" x14ac:dyDescent="0.25">
      <c r="A32" s="14" t="s">
        <v>429</v>
      </c>
      <c r="B32" s="15" t="s">
        <v>1</v>
      </c>
      <c r="C32" s="14" t="s">
        <v>68</v>
      </c>
      <c r="D32" s="14" t="s">
        <v>347</v>
      </c>
      <c r="E32" s="14"/>
      <c r="F32" s="14" t="s">
        <v>147</v>
      </c>
      <c r="G32" s="14" t="str">
        <f t="shared" si="0"/>
        <v>MCPHF11_100Q1_MAIN_SWITCH_CLOSED</v>
      </c>
      <c r="H32" s="14" t="s">
        <v>220</v>
      </c>
      <c r="I32" s="14" t="s">
        <v>258</v>
      </c>
      <c r="J32" s="14" t="s">
        <v>259</v>
      </c>
      <c r="K32" s="14" t="s">
        <v>259</v>
      </c>
      <c r="L32" s="14" t="s">
        <v>30</v>
      </c>
      <c r="M32" s="14" t="s">
        <v>259</v>
      </c>
      <c r="N32" s="14" t="s">
        <v>259</v>
      </c>
      <c r="O32" s="14" t="s">
        <v>259</v>
      </c>
      <c r="P32" s="14" t="s">
        <v>259</v>
      </c>
      <c r="Q32" s="14" t="s">
        <v>247</v>
      </c>
      <c r="R32" s="14" t="s">
        <v>254</v>
      </c>
      <c r="S32" s="14" t="s">
        <v>33</v>
      </c>
      <c r="T32" s="14" t="s">
        <v>523</v>
      </c>
      <c r="U32" s="14"/>
      <c r="V32" s="14"/>
    </row>
    <row r="33" spans="1:22" ht="14.45" customHeight="1" x14ac:dyDescent="0.25">
      <c r="A33" s="14" t="s">
        <v>429</v>
      </c>
      <c r="B33" s="15" t="s">
        <v>1</v>
      </c>
      <c r="C33" s="14" t="s">
        <v>68</v>
      </c>
      <c r="D33" s="14" t="s">
        <v>347</v>
      </c>
      <c r="E33" s="14"/>
      <c r="F33" s="14" t="s">
        <v>147</v>
      </c>
      <c r="G33" s="14" t="str">
        <f t="shared" si="0"/>
        <v>MCPHF11_100Q1_MAIN_SWITCH_TRIPPED</v>
      </c>
      <c r="H33" s="14" t="s">
        <v>221</v>
      </c>
      <c r="I33" s="14" t="s">
        <v>258</v>
      </c>
      <c r="J33" s="14" t="s">
        <v>259</v>
      </c>
      <c r="K33" s="14" t="s">
        <v>259</v>
      </c>
      <c r="L33" s="14" t="s">
        <v>30</v>
      </c>
      <c r="M33" s="14" t="s">
        <v>259</v>
      </c>
      <c r="N33" s="14" t="s">
        <v>259</v>
      </c>
      <c r="O33" s="14" t="s">
        <v>259</v>
      </c>
      <c r="P33" s="14" t="s">
        <v>259</v>
      </c>
      <c r="Q33" s="14" t="s">
        <v>247</v>
      </c>
      <c r="R33" s="14" t="s">
        <v>254</v>
      </c>
      <c r="S33" s="14" t="s">
        <v>34</v>
      </c>
      <c r="T33" s="14" t="s">
        <v>524</v>
      </c>
      <c r="U33" s="14"/>
      <c r="V33" s="14"/>
    </row>
    <row r="34" spans="1:22" ht="14.45" customHeight="1" x14ac:dyDescent="0.25">
      <c r="A34" s="14" t="s">
        <v>429</v>
      </c>
      <c r="B34" s="15" t="s">
        <v>1</v>
      </c>
      <c r="C34" s="14" t="s">
        <v>69</v>
      </c>
      <c r="D34" s="14" t="s">
        <v>346</v>
      </c>
      <c r="E34" s="14"/>
      <c r="F34" s="14" t="s">
        <v>148</v>
      </c>
      <c r="G34" s="14" t="str">
        <f t="shared" si="0"/>
        <v>MCPHF11_105F1_POWER_SUPPLY_CIRCUIT_BREAKER_STATUS_FAN</v>
      </c>
      <c r="H34" s="14" t="s">
        <v>222</v>
      </c>
      <c r="I34" s="14" t="s">
        <v>258</v>
      </c>
      <c r="J34" s="14" t="s">
        <v>259</v>
      </c>
      <c r="K34" s="14" t="s">
        <v>259</v>
      </c>
      <c r="L34" s="14" t="s">
        <v>30</v>
      </c>
      <c r="M34" s="14" t="s">
        <v>259</v>
      </c>
      <c r="N34" s="14" t="s">
        <v>259</v>
      </c>
      <c r="O34" s="14" t="s">
        <v>259</v>
      </c>
      <c r="P34" s="14" t="s">
        <v>259</v>
      </c>
      <c r="Q34" s="14" t="s">
        <v>247</v>
      </c>
      <c r="R34" s="14" t="s">
        <v>254</v>
      </c>
      <c r="S34" s="14" t="s">
        <v>35</v>
      </c>
      <c r="T34" s="14" t="s">
        <v>525</v>
      </c>
      <c r="U34" s="14"/>
      <c r="V34" s="14"/>
    </row>
    <row r="35" spans="1:22" ht="14.45" customHeight="1" x14ac:dyDescent="0.25">
      <c r="A35" s="14" t="s">
        <v>429</v>
      </c>
      <c r="B35" s="15" t="s">
        <v>1</v>
      </c>
      <c r="C35" s="14" t="s">
        <v>70</v>
      </c>
      <c r="D35" s="14" t="s">
        <v>346</v>
      </c>
      <c r="E35" s="14"/>
      <c r="F35" s="14" t="s">
        <v>149</v>
      </c>
      <c r="G35" s="14" t="str">
        <f t="shared" si="0"/>
        <v>MCPHF11_105B1_HIGH_TEMPERATURE_ALARM</v>
      </c>
      <c r="H35" s="14" t="s">
        <v>223</v>
      </c>
      <c r="I35" s="14" t="s">
        <v>258</v>
      </c>
      <c r="J35" s="14" t="s">
        <v>259</v>
      </c>
      <c r="K35" s="14" t="s">
        <v>259</v>
      </c>
      <c r="L35" s="14" t="s">
        <v>30</v>
      </c>
      <c r="M35" s="14" t="s">
        <v>259</v>
      </c>
      <c r="N35" s="14" t="s">
        <v>259</v>
      </c>
      <c r="O35" s="14" t="s">
        <v>259</v>
      </c>
      <c r="P35" s="14" t="s">
        <v>259</v>
      </c>
      <c r="Q35" s="14" t="s">
        <v>247</v>
      </c>
      <c r="R35" s="14" t="s">
        <v>254</v>
      </c>
      <c r="S35" s="14" t="s">
        <v>36</v>
      </c>
      <c r="T35" s="14" t="s">
        <v>526</v>
      </c>
      <c r="U35" s="14"/>
      <c r="V35" s="14"/>
    </row>
    <row r="36" spans="1:22" ht="14.45" customHeight="1" x14ac:dyDescent="0.25">
      <c r="A36" s="14" t="s">
        <v>429</v>
      </c>
      <c r="B36" s="15" t="s">
        <v>1</v>
      </c>
      <c r="C36" s="14" t="s">
        <v>71</v>
      </c>
      <c r="D36" s="14" t="s">
        <v>346</v>
      </c>
      <c r="E36" s="14"/>
      <c r="F36" s="14" t="s">
        <v>150</v>
      </c>
      <c r="G36" s="14" t="str">
        <f t="shared" ref="G36:G67" si="1">SUBSTITUTE(SUBSTITUTE(SUBSTITUTE(SUBSTITUTE(SUBSTITUTE(SUBSTITUTE(SUBSTITUTE(SUBSTITUTE(SUBSTITUTE(SUBSTITUTE(SUBSTITUTE(SUBSTITUTE(SUBSTITUTE(SUBSTITUTE(SUBSTITUTE(SUBSTITUTE(IF(LEFT(F36,1)="=",RIGHT(F36,LEN(F36)-1),F36)&amp;"_"&amp;H36," - ","_"),"-","_")," ","_"),"+","_"),":","_"),".","_"),"NT23__",""),"__","_"),"__","_"),"__","_"),"__","_"),"AE00_",""),"AE01_",""),"&amp;_",""),",",""),"/","")</f>
        <v>MCPHF11_107F1_400VAC_POWER_SUPPLY_CIRCUIT_BREAKER_STATUS_NETWORK_ANALYZER</v>
      </c>
      <c r="H36" s="14" t="s">
        <v>224</v>
      </c>
      <c r="I36" s="14" t="s">
        <v>258</v>
      </c>
      <c r="J36" s="14" t="s">
        <v>259</v>
      </c>
      <c r="K36" s="14" t="s">
        <v>259</v>
      </c>
      <c r="L36" s="14" t="s">
        <v>30</v>
      </c>
      <c r="M36" s="14" t="s">
        <v>259</v>
      </c>
      <c r="N36" s="14" t="s">
        <v>259</v>
      </c>
      <c r="O36" s="14" t="s">
        <v>259</v>
      </c>
      <c r="P36" s="14" t="s">
        <v>259</v>
      </c>
      <c r="Q36" s="14" t="s">
        <v>247</v>
      </c>
      <c r="R36" s="14" t="s">
        <v>254</v>
      </c>
      <c r="S36" s="14" t="s">
        <v>37</v>
      </c>
      <c r="T36" s="14" t="s">
        <v>527</v>
      </c>
      <c r="U36" s="14"/>
      <c r="V36" s="14"/>
    </row>
    <row r="37" spans="1:22" ht="14.45" customHeight="1" x14ac:dyDescent="0.25">
      <c r="A37" s="14" t="s">
        <v>429</v>
      </c>
      <c r="B37" s="15" t="s">
        <v>1</v>
      </c>
      <c r="C37" s="14" t="s">
        <v>72</v>
      </c>
      <c r="D37" s="14" t="s">
        <v>346</v>
      </c>
      <c r="E37" s="14"/>
      <c r="F37" s="14" t="s">
        <v>151</v>
      </c>
      <c r="G37" s="14" t="str">
        <f t="shared" si="1"/>
        <v>MCPHF11_107F2_230VAC_UPS_POWER_SUPPLY_CIRCUIT_BREAKER_STATUS_NETWORK_ANALYZER</v>
      </c>
      <c r="H37" s="14" t="s">
        <v>225</v>
      </c>
      <c r="I37" s="14" t="s">
        <v>258</v>
      </c>
      <c r="J37" s="14" t="s">
        <v>259</v>
      </c>
      <c r="K37" s="14" t="s">
        <v>259</v>
      </c>
      <c r="L37" s="14" t="s">
        <v>30</v>
      </c>
      <c r="M37" s="14" t="s">
        <v>259</v>
      </c>
      <c r="N37" s="14" t="s">
        <v>259</v>
      </c>
      <c r="O37" s="14" t="s">
        <v>259</v>
      </c>
      <c r="P37" s="14" t="s">
        <v>259</v>
      </c>
      <c r="Q37" s="14" t="s">
        <v>247</v>
      </c>
      <c r="R37" s="14" t="s">
        <v>254</v>
      </c>
      <c r="S37" s="14" t="s">
        <v>38</v>
      </c>
      <c r="T37" s="14" t="s">
        <v>528</v>
      </c>
      <c r="U37" s="14"/>
      <c r="V37" s="14"/>
    </row>
    <row r="38" spans="1:22" ht="14.45" customHeight="1" x14ac:dyDescent="0.25">
      <c r="A38" s="14" t="s">
        <v>429</v>
      </c>
      <c r="B38" s="15" t="s">
        <v>1</v>
      </c>
      <c r="C38" s="14" t="s">
        <v>73</v>
      </c>
      <c r="D38" s="14" t="s">
        <v>346</v>
      </c>
      <c r="E38" s="14"/>
      <c r="F38" s="14" t="s">
        <v>152</v>
      </c>
      <c r="G38" s="14" t="str">
        <f t="shared" si="1"/>
        <v>MCPHF11_130F1_400VAC_POWER_SUPPLY_CIRCUIT_BREAKER_STATUS_INVERTER_ST005_ST009_ST011_ST017</v>
      </c>
      <c r="H38" s="14" t="s">
        <v>226</v>
      </c>
      <c r="I38" s="14" t="s">
        <v>258</v>
      </c>
      <c r="J38" s="14" t="s">
        <v>259</v>
      </c>
      <c r="K38" s="14" t="s">
        <v>259</v>
      </c>
      <c r="L38" s="14" t="s">
        <v>30</v>
      </c>
      <c r="M38" s="14" t="s">
        <v>259</v>
      </c>
      <c r="N38" s="14" t="s">
        <v>259</v>
      </c>
      <c r="O38" s="14" t="s">
        <v>259</v>
      </c>
      <c r="P38" s="14" t="s">
        <v>259</v>
      </c>
      <c r="Q38" s="14" t="s">
        <v>247</v>
      </c>
      <c r="R38" s="14" t="s">
        <v>254</v>
      </c>
      <c r="S38" s="14" t="s">
        <v>39</v>
      </c>
      <c r="T38" s="14" t="s">
        <v>529</v>
      </c>
      <c r="U38" s="14"/>
      <c r="V38" s="14"/>
    </row>
    <row r="39" spans="1:22" ht="14.45" customHeight="1" x14ac:dyDescent="0.25">
      <c r="A39" s="14" t="s">
        <v>460</v>
      </c>
      <c r="B39" s="15" t="s">
        <v>1</v>
      </c>
      <c r="C39" s="15" t="s">
        <v>461</v>
      </c>
      <c r="D39" s="14" t="s">
        <v>346</v>
      </c>
      <c r="E39" s="14"/>
      <c r="F39" s="15" t="s">
        <v>462</v>
      </c>
      <c r="G39" s="14" t="str">
        <f t="shared" si="1"/>
        <v>MCPHF11_400K2_EMERGENCY_FROM_BHS</v>
      </c>
      <c r="H39" s="14" t="s">
        <v>463</v>
      </c>
      <c r="I39" s="14" t="s">
        <v>258</v>
      </c>
      <c r="J39" s="14" t="s">
        <v>259</v>
      </c>
      <c r="K39" s="14" t="s">
        <v>259</v>
      </c>
      <c r="L39" s="14" t="s">
        <v>30</v>
      </c>
      <c r="M39" s="14" t="s">
        <v>259</v>
      </c>
      <c r="N39" s="14" t="s">
        <v>259</v>
      </c>
      <c r="O39" s="14" t="s">
        <v>259</v>
      </c>
      <c r="P39" s="14" t="s">
        <v>259</v>
      </c>
      <c r="Q39" s="14" t="s">
        <v>247</v>
      </c>
      <c r="R39" s="14" t="s">
        <v>254</v>
      </c>
      <c r="S39" s="14" t="s">
        <v>40</v>
      </c>
      <c r="T39" s="14" t="s">
        <v>530</v>
      </c>
      <c r="U39" s="14"/>
      <c r="V39" s="14"/>
    </row>
    <row r="40" spans="1:22" ht="14.45" customHeight="1" x14ac:dyDescent="0.25">
      <c r="A40" s="14" t="s">
        <v>429</v>
      </c>
      <c r="B40" s="15" t="s">
        <v>1</v>
      </c>
      <c r="C40" s="14" t="s">
        <v>74</v>
      </c>
      <c r="D40" s="14" t="s">
        <v>346</v>
      </c>
      <c r="E40" s="14"/>
      <c r="F40" s="14" t="s">
        <v>154</v>
      </c>
      <c r="G40" s="14" t="str">
        <f t="shared" si="1"/>
        <v>MCPHF11_156F1_230VAC_POWER_SUPPLY_CIRCUIT_BREAKER_STATUS_FIRE_SHUTTER_HF11_FD015</v>
      </c>
      <c r="H40" s="14" t="s">
        <v>227</v>
      </c>
      <c r="I40" s="14" t="s">
        <v>258</v>
      </c>
      <c r="J40" s="14" t="s">
        <v>259</v>
      </c>
      <c r="K40" s="14" t="s">
        <v>259</v>
      </c>
      <c r="L40" s="14" t="s">
        <v>30</v>
      </c>
      <c r="M40" s="14" t="s">
        <v>259</v>
      </c>
      <c r="N40" s="14" t="s">
        <v>259</v>
      </c>
      <c r="O40" s="14" t="s">
        <v>259</v>
      </c>
      <c r="P40" s="14" t="s">
        <v>259</v>
      </c>
      <c r="Q40" s="14" t="s">
        <v>247</v>
      </c>
      <c r="R40" s="14" t="s">
        <v>254</v>
      </c>
      <c r="S40" s="14" t="s">
        <v>41</v>
      </c>
      <c r="T40" s="14" t="s">
        <v>531</v>
      </c>
      <c r="U40" s="14"/>
      <c r="V40" s="14"/>
    </row>
    <row r="41" spans="1:22" ht="14.45" customHeight="1" x14ac:dyDescent="0.25">
      <c r="A41" s="14" t="s">
        <v>429</v>
      </c>
      <c r="B41" s="15" t="s">
        <v>1</v>
      </c>
      <c r="C41" s="14" t="s">
        <v>75</v>
      </c>
      <c r="D41" s="14" t="s">
        <v>346</v>
      </c>
      <c r="E41" s="14"/>
      <c r="F41" s="14" t="s">
        <v>156</v>
      </c>
      <c r="G41" s="14" t="str">
        <f t="shared" si="1"/>
        <v>MCPHF11_159F1_400VAC_POWER_SUPPLY_CIRCUIT_BREAKER_STATUS_SECURITY_SHUTTER_HF11_SD007</v>
      </c>
      <c r="H41" s="14" t="s">
        <v>228</v>
      </c>
      <c r="I41" s="14" t="s">
        <v>258</v>
      </c>
      <c r="J41" s="14" t="s">
        <v>259</v>
      </c>
      <c r="K41" s="14" t="s">
        <v>259</v>
      </c>
      <c r="L41" s="14" t="s">
        <v>30</v>
      </c>
      <c r="M41" s="14" t="s">
        <v>259</v>
      </c>
      <c r="N41" s="14" t="s">
        <v>259</v>
      </c>
      <c r="O41" s="14" t="s">
        <v>259</v>
      </c>
      <c r="P41" s="14" t="s">
        <v>259</v>
      </c>
      <c r="Q41" s="14" t="s">
        <v>247</v>
      </c>
      <c r="R41" s="14" t="s">
        <v>254</v>
      </c>
      <c r="S41" s="14" t="s">
        <v>43</v>
      </c>
      <c r="T41" s="14" t="s">
        <v>532</v>
      </c>
      <c r="U41" s="14"/>
      <c r="V41" s="14"/>
    </row>
    <row r="42" spans="1:22" ht="14.45" customHeight="1" x14ac:dyDescent="0.25">
      <c r="A42" s="14" t="s">
        <v>429</v>
      </c>
      <c r="B42" s="15" t="s">
        <v>1</v>
      </c>
      <c r="C42" s="14" t="s">
        <v>76</v>
      </c>
      <c r="D42" s="14" t="s">
        <v>346</v>
      </c>
      <c r="E42" s="14"/>
      <c r="F42" s="14" t="s">
        <v>157</v>
      </c>
      <c r="G42" s="14" t="str">
        <f t="shared" si="1"/>
        <v>MCPHF11_159F2_400VAC_POWER_SUPPLY_CIRCUIT_BREAKER_STATUS_SECURITY_SHUTTER_HF11_SD013</v>
      </c>
      <c r="H42" s="14" t="s">
        <v>229</v>
      </c>
      <c r="I42" s="14" t="s">
        <v>258</v>
      </c>
      <c r="J42" s="14" t="s">
        <v>259</v>
      </c>
      <c r="K42" s="14" t="s">
        <v>259</v>
      </c>
      <c r="L42" s="14" t="s">
        <v>30</v>
      </c>
      <c r="M42" s="14" t="s">
        <v>259</v>
      </c>
      <c r="N42" s="14" t="s">
        <v>259</v>
      </c>
      <c r="O42" s="14" t="s">
        <v>259</v>
      </c>
      <c r="P42" s="14" t="s">
        <v>259</v>
      </c>
      <c r="Q42" s="14" t="s">
        <v>247</v>
      </c>
      <c r="R42" s="14" t="s">
        <v>254</v>
      </c>
      <c r="S42" s="14" t="s">
        <v>44</v>
      </c>
      <c r="T42" s="14" t="s">
        <v>533</v>
      </c>
      <c r="U42" s="14"/>
      <c r="V42" s="14"/>
    </row>
    <row r="43" spans="1:22" ht="14.45" customHeight="1" x14ac:dyDescent="0.25">
      <c r="A43" s="14" t="s">
        <v>429</v>
      </c>
      <c r="B43" s="15" t="s">
        <v>1</v>
      </c>
      <c r="C43" s="14" t="s">
        <v>77</v>
      </c>
      <c r="D43" s="14" t="s">
        <v>346</v>
      </c>
      <c r="E43" s="14"/>
      <c r="F43" s="14" t="s">
        <v>158</v>
      </c>
      <c r="G43" s="14" t="str">
        <f t="shared" si="1"/>
        <v>MCPHF11_159F3_400VAC_POWER_SUPPLY_CIRCUIT_BREAKER_STATUS_VERTISWITCH_HF11_VT009</v>
      </c>
      <c r="H43" s="14" t="s">
        <v>230</v>
      </c>
      <c r="I43" s="14" t="s">
        <v>258</v>
      </c>
      <c r="J43" s="14" t="s">
        <v>259</v>
      </c>
      <c r="K43" s="14" t="s">
        <v>259</v>
      </c>
      <c r="L43" s="14" t="s">
        <v>30</v>
      </c>
      <c r="M43" s="14" t="s">
        <v>259</v>
      </c>
      <c r="N43" s="14" t="s">
        <v>259</v>
      </c>
      <c r="O43" s="14" t="s">
        <v>259</v>
      </c>
      <c r="P43" s="14" t="s">
        <v>259</v>
      </c>
      <c r="Q43" s="14" t="s">
        <v>247</v>
      </c>
      <c r="R43" s="14" t="s">
        <v>254</v>
      </c>
      <c r="S43" s="14" t="s">
        <v>45</v>
      </c>
      <c r="T43" s="14" t="s">
        <v>534</v>
      </c>
      <c r="U43" s="14"/>
      <c r="V43" s="14"/>
    </row>
    <row r="44" spans="1:22" ht="14.45" customHeight="1" x14ac:dyDescent="0.25">
      <c r="A44" s="14" t="s">
        <v>429</v>
      </c>
      <c r="B44" s="15" t="s">
        <v>1</v>
      </c>
      <c r="C44" s="14" t="s">
        <v>78</v>
      </c>
      <c r="D44" s="14" t="s">
        <v>346</v>
      </c>
      <c r="E44" s="14"/>
      <c r="F44" s="14" t="s">
        <v>159</v>
      </c>
      <c r="G44" s="14" t="str">
        <f t="shared" si="1"/>
        <v>MCPHF11_169F1_230VAC_UPS_POWER_SUPPLY_CIRCUIT_BREAKER_STATUS_XRAY_HF11_XR003</v>
      </c>
      <c r="H44" s="14" t="s">
        <v>231</v>
      </c>
      <c r="I44" s="14" t="s">
        <v>258</v>
      </c>
      <c r="J44" s="14" t="s">
        <v>259</v>
      </c>
      <c r="K44" s="14" t="s">
        <v>259</v>
      </c>
      <c r="L44" s="14" t="s">
        <v>30</v>
      </c>
      <c r="M44" s="14" t="s">
        <v>259</v>
      </c>
      <c r="N44" s="14" t="s">
        <v>259</v>
      </c>
      <c r="O44" s="14" t="s">
        <v>259</v>
      </c>
      <c r="P44" s="14" t="s">
        <v>259</v>
      </c>
      <c r="Q44" s="14" t="s">
        <v>247</v>
      </c>
      <c r="R44" s="14" t="s">
        <v>255</v>
      </c>
      <c r="S44" s="14" t="s">
        <v>30</v>
      </c>
      <c r="T44" s="14" t="s">
        <v>535</v>
      </c>
      <c r="U44" s="14"/>
      <c r="V44" s="14"/>
    </row>
    <row r="45" spans="1:22" ht="14.45" customHeight="1" x14ac:dyDescent="0.25">
      <c r="A45" s="14" t="s">
        <v>429</v>
      </c>
      <c r="B45" s="15" t="s">
        <v>1</v>
      </c>
      <c r="C45" s="14" t="s">
        <v>79</v>
      </c>
      <c r="D45" s="14"/>
      <c r="E45" s="14" t="s">
        <v>343</v>
      </c>
      <c r="F45" s="14" t="s">
        <v>160</v>
      </c>
      <c r="G45" s="14" t="str">
        <f t="shared" si="1"/>
        <v>HF11_SD007_CD007_K0001_UP_ANTI_INTRUSION_DAMPER</v>
      </c>
      <c r="H45" s="14" t="s">
        <v>232</v>
      </c>
      <c r="I45" s="14" t="s">
        <v>270</v>
      </c>
      <c r="J45" s="14" t="s">
        <v>259</v>
      </c>
      <c r="K45" s="14" t="s">
        <v>259</v>
      </c>
      <c r="L45" s="14" t="s">
        <v>30</v>
      </c>
      <c r="M45" s="14" t="s">
        <v>259</v>
      </c>
      <c r="N45" s="14" t="s">
        <v>259</v>
      </c>
      <c r="O45" s="14" t="s">
        <v>259</v>
      </c>
      <c r="P45" s="14" t="s">
        <v>259</v>
      </c>
      <c r="Q45" s="14" t="s">
        <v>247</v>
      </c>
      <c r="R45" s="14" t="s">
        <v>255</v>
      </c>
      <c r="S45" s="14" t="s">
        <v>31</v>
      </c>
      <c r="T45" s="14" t="s">
        <v>536</v>
      </c>
      <c r="U45" s="14"/>
      <c r="V45" s="14"/>
    </row>
    <row r="46" spans="1:22" ht="14.45" customHeight="1" x14ac:dyDescent="0.25">
      <c r="A46" s="14" t="s">
        <v>429</v>
      </c>
      <c r="B46" s="15" t="s">
        <v>1</v>
      </c>
      <c r="C46" s="14" t="s">
        <v>79</v>
      </c>
      <c r="D46" s="14"/>
      <c r="E46" s="14" t="s">
        <v>343</v>
      </c>
      <c r="F46" s="14" t="s">
        <v>160</v>
      </c>
      <c r="G46" s="14" t="str">
        <f t="shared" si="1"/>
        <v>HF11_SD007_CD007_K0001_DOWN_ANTI_INTRUSION_DAMPER</v>
      </c>
      <c r="H46" s="14" t="s">
        <v>233</v>
      </c>
      <c r="I46" s="14" t="s">
        <v>270</v>
      </c>
      <c r="J46" s="14" t="s">
        <v>259</v>
      </c>
      <c r="K46" s="14" t="s">
        <v>259</v>
      </c>
      <c r="L46" s="14" t="s">
        <v>30</v>
      </c>
      <c r="M46" s="14" t="s">
        <v>259</v>
      </c>
      <c r="N46" s="14" t="s">
        <v>259</v>
      </c>
      <c r="O46" s="14" t="s">
        <v>259</v>
      </c>
      <c r="P46" s="14" t="s">
        <v>259</v>
      </c>
      <c r="Q46" s="14" t="s">
        <v>247</v>
      </c>
      <c r="R46" s="14" t="s">
        <v>255</v>
      </c>
      <c r="S46" s="14" t="s">
        <v>42</v>
      </c>
      <c r="T46" s="14" t="s">
        <v>537</v>
      </c>
      <c r="U46" s="14"/>
      <c r="V46" s="14"/>
    </row>
    <row r="47" spans="1:22" ht="14.45" customHeight="1" x14ac:dyDescent="0.25">
      <c r="A47" s="14" t="s">
        <v>429</v>
      </c>
      <c r="B47" s="15" t="s">
        <v>1</v>
      </c>
      <c r="C47" s="14" t="s">
        <v>79</v>
      </c>
      <c r="D47" s="14"/>
      <c r="E47" s="14" t="s">
        <v>343</v>
      </c>
      <c r="F47" s="14" t="s">
        <v>160</v>
      </c>
      <c r="G47" s="14" t="str">
        <f t="shared" si="1"/>
        <v>HF11_SD007_CD007_K0001_TECHNICAL_ERROR_ANTI_INTRUSION_DAMPER</v>
      </c>
      <c r="H47" s="14" t="s">
        <v>234</v>
      </c>
      <c r="I47" s="14" t="s">
        <v>270</v>
      </c>
      <c r="J47" s="14" t="s">
        <v>259</v>
      </c>
      <c r="K47" s="14" t="s">
        <v>259</v>
      </c>
      <c r="L47" s="14" t="s">
        <v>30</v>
      </c>
      <c r="M47" s="14" t="s">
        <v>259</v>
      </c>
      <c r="N47" s="14" t="s">
        <v>259</v>
      </c>
      <c r="O47" s="14" t="s">
        <v>259</v>
      </c>
      <c r="P47" s="14" t="s">
        <v>259</v>
      </c>
      <c r="Q47" s="14" t="s">
        <v>247</v>
      </c>
      <c r="R47" s="14" t="s">
        <v>255</v>
      </c>
      <c r="S47" s="14" t="s">
        <v>32</v>
      </c>
      <c r="T47" s="14" t="s">
        <v>538</v>
      </c>
      <c r="U47" s="14"/>
      <c r="V47" s="14"/>
    </row>
    <row r="48" spans="1:22" ht="14.45" customHeight="1" x14ac:dyDescent="0.25">
      <c r="A48" s="14" t="s">
        <v>429</v>
      </c>
      <c r="B48" s="15" t="s">
        <v>1</v>
      </c>
      <c r="C48" s="14" t="s">
        <v>79</v>
      </c>
      <c r="D48" s="14"/>
      <c r="E48" s="14" t="s">
        <v>343</v>
      </c>
      <c r="F48" s="14" t="s">
        <v>160</v>
      </c>
      <c r="G48" s="14" t="str">
        <f t="shared" si="1"/>
        <v>HF11_SD007_CD007_K0001_WARNING_ANTI_INTRUSION_DAMPER</v>
      </c>
      <c r="H48" s="14" t="s">
        <v>235</v>
      </c>
      <c r="I48" s="14" t="s">
        <v>270</v>
      </c>
      <c r="J48" s="14" t="s">
        <v>259</v>
      </c>
      <c r="K48" s="14" t="s">
        <v>259</v>
      </c>
      <c r="L48" s="14" t="s">
        <v>30</v>
      </c>
      <c r="M48" s="14" t="s">
        <v>259</v>
      </c>
      <c r="N48" s="14" t="s">
        <v>259</v>
      </c>
      <c r="O48" s="14" t="s">
        <v>259</v>
      </c>
      <c r="P48" s="14" t="s">
        <v>259</v>
      </c>
      <c r="Q48" s="14" t="s">
        <v>247</v>
      </c>
      <c r="R48" s="14" t="s">
        <v>255</v>
      </c>
      <c r="S48" s="14" t="s">
        <v>33</v>
      </c>
      <c r="T48" s="14" t="s">
        <v>539</v>
      </c>
      <c r="U48" s="14"/>
      <c r="V48" s="14"/>
    </row>
    <row r="49" spans="1:22" ht="14.45" customHeight="1" x14ac:dyDescent="0.25">
      <c r="A49" s="14" t="s">
        <v>429</v>
      </c>
      <c r="B49" s="15" t="s">
        <v>1</v>
      </c>
      <c r="C49" s="14" t="s">
        <v>79</v>
      </c>
      <c r="D49" s="14"/>
      <c r="E49" s="14" t="s">
        <v>343</v>
      </c>
      <c r="F49" s="14" t="s">
        <v>160</v>
      </c>
      <c r="G49" s="14" t="str">
        <f t="shared" si="1"/>
        <v>HF11_SD007_CD007_K0001_LOCKUNLOCK_MODE_ANTI_INTRUSION_DAMPER</v>
      </c>
      <c r="H49" s="14" t="s">
        <v>236</v>
      </c>
      <c r="I49" s="14" t="s">
        <v>270</v>
      </c>
      <c r="J49" s="14" t="s">
        <v>259</v>
      </c>
      <c r="K49" s="14" t="s">
        <v>259</v>
      </c>
      <c r="L49" s="14" t="s">
        <v>30</v>
      </c>
      <c r="M49" s="14" t="s">
        <v>259</v>
      </c>
      <c r="N49" s="14" t="s">
        <v>259</v>
      </c>
      <c r="O49" s="14" t="s">
        <v>259</v>
      </c>
      <c r="P49" s="14" t="s">
        <v>259</v>
      </c>
      <c r="Q49" s="14" t="s">
        <v>247</v>
      </c>
      <c r="R49" s="14" t="s">
        <v>255</v>
      </c>
      <c r="S49" s="14" t="s">
        <v>34</v>
      </c>
      <c r="T49" s="14" t="s">
        <v>540</v>
      </c>
      <c r="U49" s="14"/>
      <c r="V49" s="14"/>
    </row>
    <row r="50" spans="1:22" ht="14.45" customHeight="1" x14ac:dyDescent="0.25">
      <c r="A50" s="14" t="s">
        <v>429</v>
      </c>
      <c r="B50" s="15" t="s">
        <v>1</v>
      </c>
      <c r="C50" s="14" t="s">
        <v>79</v>
      </c>
      <c r="D50" s="14"/>
      <c r="E50" s="14" t="s">
        <v>344</v>
      </c>
      <c r="F50" s="14" t="s">
        <v>161</v>
      </c>
      <c r="G50" s="14" t="str">
        <f t="shared" si="1"/>
        <v>HF11_SD013_CD013_K0001_UP_ANTI_INTRUSION_DAMPER</v>
      </c>
      <c r="H50" s="14" t="s">
        <v>232</v>
      </c>
      <c r="I50" s="14" t="s">
        <v>271</v>
      </c>
      <c r="J50" s="14" t="s">
        <v>259</v>
      </c>
      <c r="K50" s="14" t="s">
        <v>259</v>
      </c>
      <c r="L50" s="14" t="s">
        <v>30</v>
      </c>
      <c r="M50" s="14" t="s">
        <v>259</v>
      </c>
      <c r="N50" s="14" t="s">
        <v>259</v>
      </c>
      <c r="O50" s="14" t="s">
        <v>259</v>
      </c>
      <c r="P50" s="14" t="s">
        <v>259</v>
      </c>
      <c r="Q50" s="14" t="s">
        <v>247</v>
      </c>
      <c r="R50" s="14" t="s">
        <v>255</v>
      </c>
      <c r="S50" s="14" t="s">
        <v>35</v>
      </c>
      <c r="T50" s="14" t="s">
        <v>541</v>
      </c>
      <c r="U50" s="14"/>
      <c r="V50" s="14"/>
    </row>
    <row r="51" spans="1:22" ht="14.45" customHeight="1" x14ac:dyDescent="0.25">
      <c r="A51" s="14" t="s">
        <v>429</v>
      </c>
      <c r="B51" s="15" t="s">
        <v>1</v>
      </c>
      <c r="C51" s="14" t="s">
        <v>79</v>
      </c>
      <c r="D51" s="14"/>
      <c r="E51" s="14" t="s">
        <v>344</v>
      </c>
      <c r="F51" s="14" t="s">
        <v>161</v>
      </c>
      <c r="G51" s="14" t="str">
        <f t="shared" si="1"/>
        <v>HF11_SD013_CD013_K0001_DOWN_ANTI_INTRUSION_DAMPER</v>
      </c>
      <c r="H51" s="14" t="s">
        <v>233</v>
      </c>
      <c r="I51" s="14" t="s">
        <v>271</v>
      </c>
      <c r="J51" s="14" t="s">
        <v>259</v>
      </c>
      <c r="K51" s="14" t="s">
        <v>259</v>
      </c>
      <c r="L51" s="14" t="s">
        <v>30</v>
      </c>
      <c r="M51" s="14" t="s">
        <v>259</v>
      </c>
      <c r="N51" s="14" t="s">
        <v>259</v>
      </c>
      <c r="O51" s="14" t="s">
        <v>259</v>
      </c>
      <c r="P51" s="14" t="s">
        <v>259</v>
      </c>
      <c r="Q51" s="14" t="s">
        <v>247</v>
      </c>
      <c r="R51" s="14" t="s">
        <v>255</v>
      </c>
      <c r="S51" s="14" t="s">
        <v>36</v>
      </c>
      <c r="T51" s="14" t="s">
        <v>542</v>
      </c>
      <c r="U51" s="14"/>
      <c r="V51" s="14"/>
    </row>
    <row r="52" spans="1:22" ht="14.45" customHeight="1" x14ac:dyDescent="0.25">
      <c r="A52" s="14" t="s">
        <v>429</v>
      </c>
      <c r="B52" s="15" t="s">
        <v>1</v>
      </c>
      <c r="C52" s="14" t="s">
        <v>79</v>
      </c>
      <c r="D52" s="14"/>
      <c r="E52" s="14" t="s">
        <v>344</v>
      </c>
      <c r="F52" s="14" t="s">
        <v>161</v>
      </c>
      <c r="G52" s="14" t="str">
        <f t="shared" si="1"/>
        <v>HF11_SD013_CD013_K0001_TECHNICAL_ERROR_ANTI_INTRUSION_DAMPER</v>
      </c>
      <c r="H52" s="14" t="s">
        <v>234</v>
      </c>
      <c r="I52" s="14" t="s">
        <v>271</v>
      </c>
      <c r="J52" s="14" t="s">
        <v>259</v>
      </c>
      <c r="K52" s="14" t="s">
        <v>259</v>
      </c>
      <c r="L52" s="14" t="s">
        <v>30</v>
      </c>
      <c r="M52" s="14" t="s">
        <v>259</v>
      </c>
      <c r="N52" s="14" t="s">
        <v>259</v>
      </c>
      <c r="O52" s="14" t="s">
        <v>259</v>
      </c>
      <c r="P52" s="14" t="s">
        <v>259</v>
      </c>
      <c r="Q52" s="14" t="s">
        <v>247</v>
      </c>
      <c r="R52" s="14" t="s">
        <v>255</v>
      </c>
      <c r="S52" s="14" t="s">
        <v>37</v>
      </c>
      <c r="T52" s="14" t="s">
        <v>543</v>
      </c>
      <c r="U52" s="14"/>
      <c r="V52" s="14"/>
    </row>
    <row r="53" spans="1:22" ht="14.45" customHeight="1" x14ac:dyDescent="0.25">
      <c r="A53" s="14" t="s">
        <v>429</v>
      </c>
      <c r="B53" s="15" t="s">
        <v>1</v>
      </c>
      <c r="C53" s="14" t="s">
        <v>79</v>
      </c>
      <c r="D53" s="14"/>
      <c r="E53" s="14" t="s">
        <v>344</v>
      </c>
      <c r="F53" s="14" t="s">
        <v>161</v>
      </c>
      <c r="G53" s="14" t="str">
        <f t="shared" si="1"/>
        <v>HF11_SD013_CD013_K0001_WARNING_ANTI_INTRUSION_DAMPER</v>
      </c>
      <c r="H53" s="14" t="s">
        <v>235</v>
      </c>
      <c r="I53" s="14" t="s">
        <v>271</v>
      </c>
      <c r="J53" s="14" t="s">
        <v>259</v>
      </c>
      <c r="K53" s="14" t="s">
        <v>259</v>
      </c>
      <c r="L53" s="14" t="s">
        <v>30</v>
      </c>
      <c r="M53" s="14" t="s">
        <v>259</v>
      </c>
      <c r="N53" s="14" t="s">
        <v>259</v>
      </c>
      <c r="O53" s="14" t="s">
        <v>259</v>
      </c>
      <c r="P53" s="14" t="s">
        <v>259</v>
      </c>
      <c r="Q53" s="14" t="s">
        <v>247</v>
      </c>
      <c r="R53" s="14" t="s">
        <v>255</v>
      </c>
      <c r="S53" s="14" t="s">
        <v>38</v>
      </c>
      <c r="T53" s="14" t="s">
        <v>544</v>
      </c>
      <c r="U53" s="14"/>
      <c r="V53" s="14"/>
    </row>
    <row r="54" spans="1:22" ht="14.45" customHeight="1" x14ac:dyDescent="0.25">
      <c r="A54" s="14" t="s">
        <v>429</v>
      </c>
      <c r="B54" s="15" t="s">
        <v>1</v>
      </c>
      <c r="C54" s="14" t="s">
        <v>79</v>
      </c>
      <c r="D54" s="14"/>
      <c r="E54" s="14" t="s">
        <v>344</v>
      </c>
      <c r="F54" s="14" t="s">
        <v>161</v>
      </c>
      <c r="G54" s="14" t="str">
        <f t="shared" si="1"/>
        <v>HF11_SD013_CD013_K0001_LOCKUNLOCK_MODE_ANTI_INTRUSION_DAMPER</v>
      </c>
      <c r="H54" s="14" t="s">
        <v>236</v>
      </c>
      <c r="I54" s="14" t="s">
        <v>271</v>
      </c>
      <c r="J54" s="14" t="s">
        <v>259</v>
      </c>
      <c r="K54" s="14" t="s">
        <v>259</v>
      </c>
      <c r="L54" s="14" t="s">
        <v>30</v>
      </c>
      <c r="M54" s="14" t="s">
        <v>259</v>
      </c>
      <c r="N54" s="14" t="s">
        <v>259</v>
      </c>
      <c r="O54" s="14" t="s">
        <v>259</v>
      </c>
      <c r="P54" s="14" t="s">
        <v>259</v>
      </c>
      <c r="Q54" s="14" t="s">
        <v>247</v>
      </c>
      <c r="R54" s="14" t="s">
        <v>255</v>
      </c>
      <c r="S54" s="14" t="s">
        <v>39</v>
      </c>
      <c r="T54" s="14" t="s">
        <v>545</v>
      </c>
      <c r="U54" s="14"/>
      <c r="V54" s="14"/>
    </row>
    <row r="55" spans="1:22" ht="14.45" customHeight="1" x14ac:dyDescent="0.25">
      <c r="A55" s="14" t="s">
        <v>460</v>
      </c>
      <c r="B55" s="15" t="s">
        <v>1</v>
      </c>
      <c r="C55" s="14" t="s">
        <v>53</v>
      </c>
      <c r="D55" s="14" t="s">
        <v>373</v>
      </c>
      <c r="E55" s="14" t="s">
        <v>385</v>
      </c>
      <c r="F55" s="14" t="s">
        <v>163</v>
      </c>
      <c r="G55" s="14" t="str">
        <f t="shared" si="1"/>
        <v>HF11_BR002_100S1_EMERGENCY_RESET</v>
      </c>
      <c r="H55" s="14" t="s">
        <v>216</v>
      </c>
      <c r="I55" s="14" t="s">
        <v>272</v>
      </c>
      <c r="J55" s="14" t="s">
        <v>259</v>
      </c>
      <c r="K55" s="14" t="s">
        <v>259</v>
      </c>
      <c r="L55" s="14" t="s">
        <v>30</v>
      </c>
      <c r="M55" s="14" t="s">
        <v>259</v>
      </c>
      <c r="N55" s="14" t="s">
        <v>259</v>
      </c>
      <c r="O55" s="14" t="s">
        <v>259</v>
      </c>
      <c r="P55" s="14" t="s">
        <v>259</v>
      </c>
      <c r="Q55" s="14" t="s">
        <v>247</v>
      </c>
      <c r="R55" s="14" t="s">
        <v>255</v>
      </c>
      <c r="S55" s="14" t="s">
        <v>40</v>
      </c>
      <c r="T55" s="14" t="s">
        <v>546</v>
      </c>
      <c r="U55" s="14"/>
      <c r="V55" s="14"/>
    </row>
    <row r="56" spans="1:22" ht="14.45" customHeight="1" x14ac:dyDescent="0.25">
      <c r="A56" s="14" t="s">
        <v>460</v>
      </c>
      <c r="B56" s="15" t="s">
        <v>1</v>
      </c>
      <c r="C56" s="14"/>
      <c r="D56" s="14" t="s">
        <v>373</v>
      </c>
      <c r="E56" s="14" t="s">
        <v>385</v>
      </c>
      <c r="F56" s="15" t="s">
        <v>464</v>
      </c>
      <c r="G56" s="14" t="str">
        <f t="shared" si="1"/>
        <v>HF11_BR002_SPARE</v>
      </c>
      <c r="H56" s="14" t="s">
        <v>192</v>
      </c>
      <c r="I56" s="14" t="s">
        <v>272</v>
      </c>
      <c r="J56" s="14" t="s">
        <v>259</v>
      </c>
      <c r="K56" s="14" t="s">
        <v>259</v>
      </c>
      <c r="L56" s="14" t="s">
        <v>30</v>
      </c>
      <c r="M56" s="14" t="s">
        <v>259</v>
      </c>
      <c r="N56" s="14" t="s">
        <v>259</v>
      </c>
      <c r="O56" s="14" t="s">
        <v>259</v>
      </c>
      <c r="P56" s="14" t="s">
        <v>259</v>
      </c>
      <c r="Q56" s="14" t="s">
        <v>247</v>
      </c>
      <c r="R56" s="14" t="s">
        <v>255</v>
      </c>
      <c r="S56" s="14" t="s">
        <v>41</v>
      </c>
      <c r="T56" s="14" t="s">
        <v>547</v>
      </c>
      <c r="U56" s="14"/>
      <c r="V56" s="14"/>
    </row>
    <row r="57" spans="1:22" ht="14.45" customHeight="1" x14ac:dyDescent="0.25">
      <c r="A57" s="14" t="s">
        <v>460</v>
      </c>
      <c r="B57" s="15" t="s">
        <v>1</v>
      </c>
      <c r="C57" s="14" t="s">
        <v>50</v>
      </c>
      <c r="D57" s="14" t="s">
        <v>373</v>
      </c>
      <c r="E57" s="14" t="s">
        <v>385</v>
      </c>
      <c r="F57" s="14" t="s">
        <v>164</v>
      </c>
      <c r="G57" s="14" t="str">
        <f t="shared" si="1"/>
        <v>HF11_BR002_100S2_FAULT_ACKNOWLEDGMENT</v>
      </c>
      <c r="H57" s="14" t="s">
        <v>218</v>
      </c>
      <c r="I57" s="14" t="s">
        <v>272</v>
      </c>
      <c r="J57" s="14" t="s">
        <v>259</v>
      </c>
      <c r="K57" s="14" t="s">
        <v>259</v>
      </c>
      <c r="L57" s="14" t="s">
        <v>30</v>
      </c>
      <c r="M57" s="14" t="s">
        <v>259</v>
      </c>
      <c r="N57" s="14" t="s">
        <v>259</v>
      </c>
      <c r="O57" s="14" t="s">
        <v>259</v>
      </c>
      <c r="P57" s="14" t="s">
        <v>259</v>
      </c>
      <c r="Q57" s="14" t="s">
        <v>247</v>
      </c>
      <c r="R57" s="14" t="s">
        <v>255</v>
      </c>
      <c r="S57" s="14" t="s">
        <v>43</v>
      </c>
      <c r="T57" s="14" t="s">
        <v>548</v>
      </c>
      <c r="U57" s="14"/>
      <c r="V57" s="14"/>
    </row>
    <row r="58" spans="1:22" ht="14.45" customHeight="1" x14ac:dyDescent="0.25">
      <c r="A58" s="14" t="s">
        <v>460</v>
      </c>
      <c r="B58" s="15" t="s">
        <v>1</v>
      </c>
      <c r="C58" s="14"/>
      <c r="D58" s="14" t="s">
        <v>373</v>
      </c>
      <c r="E58" s="14" t="s">
        <v>385</v>
      </c>
      <c r="F58" s="15" t="s">
        <v>464</v>
      </c>
      <c r="G58" s="14" t="str">
        <f t="shared" si="1"/>
        <v>HF11_BR002_SPARE</v>
      </c>
      <c r="H58" s="14" t="s">
        <v>192</v>
      </c>
      <c r="I58" s="14" t="s">
        <v>272</v>
      </c>
      <c r="J58" s="14" t="s">
        <v>259</v>
      </c>
      <c r="K58" s="14" t="s">
        <v>259</v>
      </c>
      <c r="L58" s="14" t="s">
        <v>30</v>
      </c>
      <c r="M58" s="14" t="s">
        <v>259</v>
      </c>
      <c r="N58" s="14" t="s">
        <v>259</v>
      </c>
      <c r="O58" s="14" t="s">
        <v>259</v>
      </c>
      <c r="P58" s="14" t="s">
        <v>259</v>
      </c>
      <c r="Q58" s="14" t="s">
        <v>247</v>
      </c>
      <c r="R58" s="14" t="s">
        <v>255</v>
      </c>
      <c r="S58" s="14" t="s">
        <v>44</v>
      </c>
      <c r="T58" s="14" t="s">
        <v>549</v>
      </c>
      <c r="U58" s="14"/>
      <c r="V58" s="14"/>
    </row>
    <row r="59" spans="1:22" ht="14.45" customHeight="1" x14ac:dyDescent="0.25">
      <c r="A59" s="14" t="s">
        <v>429</v>
      </c>
      <c r="B59" s="15" t="s">
        <v>1</v>
      </c>
      <c r="C59" s="14" t="s">
        <v>80</v>
      </c>
      <c r="D59" s="14"/>
      <c r="E59" s="14" t="s">
        <v>259</v>
      </c>
      <c r="F59" s="14" t="s">
        <v>165</v>
      </c>
      <c r="G59" s="14" t="str">
        <f t="shared" si="1"/>
        <v>CUSTOMER_FIRE_ALARM_X_FIRE_ALARM</v>
      </c>
      <c r="H59" s="14" t="s">
        <v>237</v>
      </c>
      <c r="I59" s="14" t="s">
        <v>46</v>
      </c>
      <c r="J59" s="14" t="s">
        <v>259</v>
      </c>
      <c r="K59" s="14" t="s">
        <v>259</v>
      </c>
      <c r="L59" s="14" t="s">
        <v>30</v>
      </c>
      <c r="M59" s="14" t="s">
        <v>259</v>
      </c>
      <c r="N59" s="14" t="s">
        <v>259</v>
      </c>
      <c r="O59" s="14" t="s">
        <v>259</v>
      </c>
      <c r="P59" s="14" t="s">
        <v>259</v>
      </c>
      <c r="Q59" s="14" t="s">
        <v>247</v>
      </c>
      <c r="R59" s="14" t="s">
        <v>255</v>
      </c>
      <c r="S59" s="14" t="s">
        <v>45</v>
      </c>
      <c r="T59" s="14" t="s">
        <v>550</v>
      </c>
      <c r="U59" s="14"/>
      <c r="V59" s="14"/>
    </row>
    <row r="60" spans="1:22" ht="14.45" customHeight="1" x14ac:dyDescent="0.25">
      <c r="A60" s="14" t="s">
        <v>460</v>
      </c>
      <c r="B60" s="15" t="s">
        <v>1</v>
      </c>
      <c r="C60" s="14" t="s">
        <v>53</v>
      </c>
      <c r="D60" s="14" t="s">
        <v>374</v>
      </c>
      <c r="E60" s="14" t="s">
        <v>386</v>
      </c>
      <c r="F60" s="14" t="s">
        <v>166</v>
      </c>
      <c r="G60" s="14" t="str">
        <f t="shared" si="1"/>
        <v>HF11_BR004_100S1_EMERGENCY_RESET</v>
      </c>
      <c r="H60" s="14" t="s">
        <v>216</v>
      </c>
      <c r="I60" s="14" t="s">
        <v>273</v>
      </c>
      <c r="J60" s="14" t="s">
        <v>259</v>
      </c>
      <c r="K60" s="14" t="s">
        <v>259</v>
      </c>
      <c r="L60" s="14" t="s">
        <v>30</v>
      </c>
      <c r="M60" s="14" t="s">
        <v>259</v>
      </c>
      <c r="N60" s="14" t="s">
        <v>259</v>
      </c>
      <c r="O60" s="14" t="s">
        <v>259</v>
      </c>
      <c r="P60" s="14" t="s">
        <v>259</v>
      </c>
      <c r="Q60" s="14" t="s">
        <v>247</v>
      </c>
      <c r="R60" s="14" t="s">
        <v>256</v>
      </c>
      <c r="S60" s="14" t="s">
        <v>30</v>
      </c>
      <c r="T60" s="14" t="s">
        <v>551</v>
      </c>
      <c r="U60" s="14"/>
      <c r="V60" s="14"/>
    </row>
    <row r="61" spans="1:22" ht="14.45" customHeight="1" x14ac:dyDescent="0.25">
      <c r="A61" s="14" t="s">
        <v>460</v>
      </c>
      <c r="B61" s="15" t="s">
        <v>1</v>
      </c>
      <c r="C61" s="14"/>
      <c r="D61" s="14" t="s">
        <v>374</v>
      </c>
      <c r="E61" s="14" t="s">
        <v>386</v>
      </c>
      <c r="F61" s="15" t="s">
        <v>465</v>
      </c>
      <c r="G61" s="14" t="str">
        <f t="shared" si="1"/>
        <v>HF11_BR004_SPARE</v>
      </c>
      <c r="H61" s="14" t="s">
        <v>192</v>
      </c>
      <c r="I61" s="14" t="s">
        <v>273</v>
      </c>
      <c r="J61" s="14" t="s">
        <v>259</v>
      </c>
      <c r="K61" s="14" t="s">
        <v>259</v>
      </c>
      <c r="L61" s="14" t="s">
        <v>30</v>
      </c>
      <c r="M61" s="14" t="s">
        <v>259</v>
      </c>
      <c r="N61" s="14" t="s">
        <v>259</v>
      </c>
      <c r="O61" s="14" t="s">
        <v>259</v>
      </c>
      <c r="P61" s="14" t="s">
        <v>259</v>
      </c>
      <c r="Q61" s="14" t="s">
        <v>247</v>
      </c>
      <c r="R61" s="14" t="s">
        <v>256</v>
      </c>
      <c r="S61" s="14" t="s">
        <v>31</v>
      </c>
      <c r="T61" s="14" t="s">
        <v>552</v>
      </c>
      <c r="U61" s="14"/>
      <c r="V61" s="14"/>
    </row>
    <row r="62" spans="1:22" ht="14.45" customHeight="1" x14ac:dyDescent="0.25">
      <c r="A62" s="14" t="s">
        <v>460</v>
      </c>
      <c r="B62" s="15" t="s">
        <v>1</v>
      </c>
      <c r="C62" s="14" t="s">
        <v>50</v>
      </c>
      <c r="D62" s="14" t="s">
        <v>374</v>
      </c>
      <c r="E62" s="14" t="s">
        <v>386</v>
      </c>
      <c r="F62" s="14" t="s">
        <v>167</v>
      </c>
      <c r="G62" s="14" t="str">
        <f t="shared" si="1"/>
        <v>HF11_BR004_100S2_FAULT_ACKNOWLEDGMENT</v>
      </c>
      <c r="H62" s="14" t="s">
        <v>218</v>
      </c>
      <c r="I62" s="14" t="s">
        <v>273</v>
      </c>
      <c r="J62" s="14" t="s">
        <v>259</v>
      </c>
      <c r="K62" s="14" t="s">
        <v>259</v>
      </c>
      <c r="L62" s="14" t="s">
        <v>30</v>
      </c>
      <c r="M62" s="14" t="s">
        <v>259</v>
      </c>
      <c r="N62" s="14" t="s">
        <v>259</v>
      </c>
      <c r="O62" s="14" t="s">
        <v>259</v>
      </c>
      <c r="P62" s="14" t="s">
        <v>259</v>
      </c>
      <c r="Q62" s="14" t="s">
        <v>247</v>
      </c>
      <c r="R62" s="14" t="s">
        <v>256</v>
      </c>
      <c r="S62" s="14" t="s">
        <v>42</v>
      </c>
      <c r="T62" s="14" t="s">
        <v>553</v>
      </c>
      <c r="U62" s="14"/>
      <c r="V62" s="14"/>
    </row>
    <row r="63" spans="1:22" ht="14.45" customHeight="1" x14ac:dyDescent="0.25">
      <c r="A63" s="14" t="s">
        <v>460</v>
      </c>
      <c r="B63" s="15" t="s">
        <v>1</v>
      </c>
      <c r="C63" s="14"/>
      <c r="D63" s="14" t="s">
        <v>374</v>
      </c>
      <c r="E63" s="14" t="s">
        <v>386</v>
      </c>
      <c r="F63" s="15" t="s">
        <v>465</v>
      </c>
      <c r="G63" s="14" t="str">
        <f t="shared" si="1"/>
        <v>HF11_BR004_SPARE</v>
      </c>
      <c r="H63" s="14" t="s">
        <v>192</v>
      </c>
      <c r="I63" s="14" t="s">
        <v>273</v>
      </c>
      <c r="J63" s="14" t="s">
        <v>259</v>
      </c>
      <c r="K63" s="14" t="s">
        <v>259</v>
      </c>
      <c r="L63" s="14" t="s">
        <v>30</v>
      </c>
      <c r="M63" s="14" t="s">
        <v>259</v>
      </c>
      <c r="N63" s="14" t="s">
        <v>259</v>
      </c>
      <c r="O63" s="14" t="s">
        <v>259</v>
      </c>
      <c r="P63" s="14" t="s">
        <v>259</v>
      </c>
      <c r="Q63" s="14" t="s">
        <v>247</v>
      </c>
      <c r="R63" s="14" t="s">
        <v>256</v>
      </c>
      <c r="S63" s="14" t="s">
        <v>32</v>
      </c>
      <c r="T63" s="14" t="s">
        <v>554</v>
      </c>
      <c r="U63" s="14"/>
      <c r="V63" s="14"/>
    </row>
    <row r="64" spans="1:22" ht="14.45" customHeight="1" x14ac:dyDescent="0.25">
      <c r="A64" s="14" t="s">
        <v>429</v>
      </c>
      <c r="B64" s="15" t="s">
        <v>1</v>
      </c>
      <c r="C64" s="14" t="s">
        <v>53</v>
      </c>
      <c r="D64" s="14" t="s">
        <v>375</v>
      </c>
      <c r="E64" s="14" t="s">
        <v>387</v>
      </c>
      <c r="F64" s="14" t="s">
        <v>168</v>
      </c>
      <c r="G64" s="14" t="str">
        <f t="shared" si="1"/>
        <v>HF11_OP601_100S1_AUTOMATIC</v>
      </c>
      <c r="H64" s="14" t="s">
        <v>239</v>
      </c>
      <c r="I64" s="14" t="s">
        <v>274</v>
      </c>
      <c r="J64" s="14" t="s">
        <v>259</v>
      </c>
      <c r="K64" s="14" t="s">
        <v>259</v>
      </c>
      <c r="L64" s="14" t="s">
        <v>30</v>
      </c>
      <c r="M64" s="14" t="s">
        <v>259</v>
      </c>
      <c r="N64" s="14" t="s">
        <v>259</v>
      </c>
      <c r="O64" s="14" t="s">
        <v>259</v>
      </c>
      <c r="P64" s="14" t="s">
        <v>259</v>
      </c>
      <c r="Q64" s="14" t="s">
        <v>247</v>
      </c>
      <c r="R64" s="14" t="s">
        <v>256</v>
      </c>
      <c r="S64" s="14" t="s">
        <v>33</v>
      </c>
      <c r="T64" s="14" t="s">
        <v>555</v>
      </c>
      <c r="U64" s="14"/>
      <c r="V64" s="14"/>
    </row>
    <row r="65" spans="1:22" ht="14.45" customHeight="1" x14ac:dyDescent="0.25">
      <c r="A65" s="14" t="s">
        <v>429</v>
      </c>
      <c r="B65" s="15" t="s">
        <v>1</v>
      </c>
      <c r="C65" s="14" t="s">
        <v>53</v>
      </c>
      <c r="D65" s="14" t="s">
        <v>375</v>
      </c>
      <c r="E65" s="14" t="s">
        <v>387</v>
      </c>
      <c r="F65" s="14" t="s">
        <v>168</v>
      </c>
      <c r="G65" s="14" t="str">
        <f t="shared" si="1"/>
        <v>HF11_OP601_100S1_MAINTENANCE</v>
      </c>
      <c r="H65" s="14" t="s">
        <v>240</v>
      </c>
      <c r="I65" s="14" t="s">
        <v>274</v>
      </c>
      <c r="J65" s="14" t="s">
        <v>259</v>
      </c>
      <c r="K65" s="14" t="s">
        <v>259</v>
      </c>
      <c r="L65" s="14" t="s">
        <v>30</v>
      </c>
      <c r="M65" s="14" t="s">
        <v>259</v>
      </c>
      <c r="N65" s="14" t="s">
        <v>259</v>
      </c>
      <c r="O65" s="14" t="s">
        <v>259</v>
      </c>
      <c r="P65" s="14" t="s">
        <v>259</v>
      </c>
      <c r="Q65" s="14" t="s">
        <v>247</v>
      </c>
      <c r="R65" s="14" t="s">
        <v>256</v>
      </c>
      <c r="S65" s="14" t="s">
        <v>34</v>
      </c>
      <c r="T65" s="14" t="s">
        <v>556</v>
      </c>
      <c r="U65" s="14"/>
      <c r="V65" s="14"/>
    </row>
    <row r="66" spans="1:22" ht="14.45" customHeight="1" x14ac:dyDescent="0.25">
      <c r="A66" s="14" t="s">
        <v>429</v>
      </c>
      <c r="B66" s="15" t="s">
        <v>1</v>
      </c>
      <c r="C66" s="14" t="s">
        <v>50</v>
      </c>
      <c r="D66" s="14" t="s">
        <v>375</v>
      </c>
      <c r="E66" s="14" t="s">
        <v>387</v>
      </c>
      <c r="F66" s="14" t="s">
        <v>169</v>
      </c>
      <c r="G66" s="14" t="str">
        <f t="shared" si="1"/>
        <v>HF11_OP601_100S2_OPENING</v>
      </c>
      <c r="H66" s="14" t="s">
        <v>195</v>
      </c>
      <c r="I66" s="14" t="s">
        <v>274</v>
      </c>
      <c r="J66" s="14" t="s">
        <v>259</v>
      </c>
      <c r="K66" s="14" t="s">
        <v>259</v>
      </c>
      <c r="L66" s="14" t="s">
        <v>30</v>
      </c>
      <c r="M66" s="14" t="s">
        <v>259</v>
      </c>
      <c r="N66" s="14" t="s">
        <v>259</v>
      </c>
      <c r="O66" s="14" t="s">
        <v>259</v>
      </c>
      <c r="P66" s="14" t="s">
        <v>259</v>
      </c>
      <c r="Q66" s="14" t="s">
        <v>247</v>
      </c>
      <c r="R66" s="14" t="s">
        <v>256</v>
      </c>
      <c r="S66" s="14" t="s">
        <v>35</v>
      </c>
      <c r="T66" s="14" t="s">
        <v>557</v>
      </c>
      <c r="U66" s="14"/>
      <c r="V66" s="14"/>
    </row>
    <row r="67" spans="1:22" ht="14.45" customHeight="1" x14ac:dyDescent="0.25">
      <c r="A67" s="14" t="s">
        <v>429</v>
      </c>
      <c r="B67" s="15" t="s">
        <v>1</v>
      </c>
      <c r="C67" s="14" t="s">
        <v>48</v>
      </c>
      <c r="D67" s="14" t="s">
        <v>375</v>
      </c>
      <c r="E67" s="14" t="s">
        <v>387</v>
      </c>
      <c r="F67" s="14" t="s">
        <v>85</v>
      </c>
      <c r="G67" s="14" t="str">
        <f t="shared" si="1"/>
        <v>HF11_OP601_100S3_CLOSURE</v>
      </c>
      <c r="H67" s="14" t="s">
        <v>193</v>
      </c>
      <c r="I67" s="14" t="s">
        <v>274</v>
      </c>
      <c r="J67" s="14" t="s">
        <v>259</v>
      </c>
      <c r="K67" s="14" t="s">
        <v>259</v>
      </c>
      <c r="L67" s="14" t="s">
        <v>30</v>
      </c>
      <c r="M67" s="14" t="s">
        <v>259</v>
      </c>
      <c r="N67" s="14" t="s">
        <v>259</v>
      </c>
      <c r="O67" s="14" t="s">
        <v>259</v>
      </c>
      <c r="P67" s="14" t="s">
        <v>259</v>
      </c>
      <c r="Q67" s="14" t="s">
        <v>247</v>
      </c>
      <c r="R67" s="14" t="s">
        <v>256</v>
      </c>
      <c r="S67" s="14" t="s">
        <v>36</v>
      </c>
      <c r="T67" s="14" t="s">
        <v>558</v>
      </c>
      <c r="U67" s="14"/>
      <c r="V67" s="14"/>
    </row>
    <row r="68" spans="1:22" ht="14.45" customHeight="1" x14ac:dyDescent="0.25">
      <c r="A68" s="14" t="s">
        <v>429</v>
      </c>
      <c r="B68" s="15" t="s">
        <v>1</v>
      </c>
      <c r="C68" s="14" t="s">
        <v>53</v>
      </c>
      <c r="D68" s="14" t="s">
        <v>376</v>
      </c>
      <c r="E68" s="14" t="s">
        <v>388</v>
      </c>
      <c r="F68" s="14" t="s">
        <v>170</v>
      </c>
      <c r="G68" s="14" t="str">
        <f t="shared" ref="G68:G99" si="2">SUBSTITUTE(SUBSTITUTE(SUBSTITUTE(SUBSTITUTE(SUBSTITUTE(SUBSTITUTE(SUBSTITUTE(SUBSTITUTE(SUBSTITUTE(SUBSTITUTE(SUBSTITUTE(SUBSTITUTE(SUBSTITUTE(SUBSTITUTE(SUBSTITUTE(SUBSTITUTE(IF(LEFT(F68,1)="=",RIGHT(F68,LEN(F68)-1),F68)&amp;"_"&amp;H68," - ","_"),"-","_")," ","_"),"+","_"),":","_"),".","_"),"NT23__",""),"__","_"),"__","_"),"__","_"),"__","_"),"AE00_",""),"AE01_",""),"&amp;_",""),",",""),"/","")</f>
        <v>HF11_OP602_100S1_AUTOMATIC</v>
      </c>
      <c r="H68" s="14" t="s">
        <v>239</v>
      </c>
      <c r="I68" s="14" t="s">
        <v>275</v>
      </c>
      <c r="J68" s="14" t="s">
        <v>259</v>
      </c>
      <c r="K68" s="14" t="s">
        <v>259</v>
      </c>
      <c r="L68" s="14" t="s">
        <v>30</v>
      </c>
      <c r="M68" s="14" t="s">
        <v>259</v>
      </c>
      <c r="N68" s="14" t="s">
        <v>259</v>
      </c>
      <c r="O68" s="14" t="s">
        <v>259</v>
      </c>
      <c r="P68" s="14" t="s">
        <v>259</v>
      </c>
      <c r="Q68" s="14" t="s">
        <v>247</v>
      </c>
      <c r="R68" s="14" t="s">
        <v>256</v>
      </c>
      <c r="S68" s="14" t="s">
        <v>37</v>
      </c>
      <c r="T68" s="14" t="s">
        <v>559</v>
      </c>
      <c r="U68" s="14"/>
      <c r="V68" s="14"/>
    </row>
    <row r="69" spans="1:22" ht="14.45" customHeight="1" x14ac:dyDescent="0.25">
      <c r="A69" s="14" t="s">
        <v>429</v>
      </c>
      <c r="B69" s="15" t="s">
        <v>1</v>
      </c>
      <c r="C69" s="14" t="s">
        <v>53</v>
      </c>
      <c r="D69" s="14" t="s">
        <v>376</v>
      </c>
      <c r="E69" s="14" t="s">
        <v>388</v>
      </c>
      <c r="F69" s="14" t="s">
        <v>170</v>
      </c>
      <c r="G69" s="14" t="str">
        <f t="shared" si="2"/>
        <v>HF11_OP602_100S1_MAINTENANCE</v>
      </c>
      <c r="H69" s="14" t="s">
        <v>240</v>
      </c>
      <c r="I69" s="14" t="s">
        <v>275</v>
      </c>
      <c r="J69" s="14" t="s">
        <v>259</v>
      </c>
      <c r="K69" s="14" t="s">
        <v>259</v>
      </c>
      <c r="L69" s="14" t="s">
        <v>30</v>
      </c>
      <c r="M69" s="14" t="s">
        <v>259</v>
      </c>
      <c r="N69" s="14" t="s">
        <v>259</v>
      </c>
      <c r="O69" s="14" t="s">
        <v>259</v>
      </c>
      <c r="P69" s="14" t="s">
        <v>259</v>
      </c>
      <c r="Q69" s="14" t="s">
        <v>247</v>
      </c>
      <c r="R69" s="14" t="s">
        <v>256</v>
      </c>
      <c r="S69" s="14" t="s">
        <v>38</v>
      </c>
      <c r="T69" s="14" t="s">
        <v>560</v>
      </c>
      <c r="U69" s="14"/>
      <c r="V69" s="14"/>
    </row>
    <row r="70" spans="1:22" ht="14.45" customHeight="1" x14ac:dyDescent="0.25">
      <c r="A70" s="14" t="s">
        <v>429</v>
      </c>
      <c r="B70" s="15" t="s">
        <v>1</v>
      </c>
      <c r="C70" s="14" t="s">
        <v>50</v>
      </c>
      <c r="D70" s="14" t="s">
        <v>376</v>
      </c>
      <c r="E70" s="14" t="s">
        <v>388</v>
      </c>
      <c r="F70" s="14" t="s">
        <v>87</v>
      </c>
      <c r="G70" s="14" t="str">
        <f t="shared" si="2"/>
        <v>HF11_OP602_100S2_OPENING</v>
      </c>
      <c r="H70" s="14" t="s">
        <v>195</v>
      </c>
      <c r="I70" s="14" t="s">
        <v>275</v>
      </c>
      <c r="J70" s="14" t="s">
        <v>259</v>
      </c>
      <c r="K70" s="14" t="s">
        <v>259</v>
      </c>
      <c r="L70" s="14" t="s">
        <v>30</v>
      </c>
      <c r="M70" s="14" t="s">
        <v>259</v>
      </c>
      <c r="N70" s="14" t="s">
        <v>259</v>
      </c>
      <c r="O70" s="14" t="s">
        <v>259</v>
      </c>
      <c r="P70" s="14" t="s">
        <v>259</v>
      </c>
      <c r="Q70" s="14" t="s">
        <v>247</v>
      </c>
      <c r="R70" s="14" t="s">
        <v>256</v>
      </c>
      <c r="S70" s="14" t="s">
        <v>39</v>
      </c>
      <c r="T70" s="14" t="s">
        <v>561</v>
      </c>
      <c r="U70" s="14"/>
      <c r="V70" s="14"/>
    </row>
    <row r="71" spans="1:22" ht="14.45" customHeight="1" x14ac:dyDescent="0.25">
      <c r="A71" s="14" t="s">
        <v>429</v>
      </c>
      <c r="B71" s="15" t="s">
        <v>1</v>
      </c>
      <c r="C71" s="14" t="s">
        <v>48</v>
      </c>
      <c r="D71" s="14" t="s">
        <v>376</v>
      </c>
      <c r="E71" s="14" t="s">
        <v>388</v>
      </c>
      <c r="F71" s="14" t="s">
        <v>88</v>
      </c>
      <c r="G71" s="14" t="str">
        <f t="shared" si="2"/>
        <v>HF11_OP602_100S3_CLOSURE</v>
      </c>
      <c r="H71" s="14" t="s">
        <v>193</v>
      </c>
      <c r="I71" s="14" t="s">
        <v>275</v>
      </c>
      <c r="J71" s="14" t="s">
        <v>259</v>
      </c>
      <c r="K71" s="14" t="s">
        <v>259</v>
      </c>
      <c r="L71" s="14" t="s">
        <v>30</v>
      </c>
      <c r="M71" s="14" t="s">
        <v>259</v>
      </c>
      <c r="N71" s="14" t="s">
        <v>259</v>
      </c>
      <c r="O71" s="14" t="s">
        <v>259</v>
      </c>
      <c r="P71" s="14" t="s">
        <v>259</v>
      </c>
      <c r="Q71" s="14" t="s">
        <v>247</v>
      </c>
      <c r="R71" s="14" t="s">
        <v>256</v>
      </c>
      <c r="S71" s="14" t="s">
        <v>40</v>
      </c>
      <c r="T71" s="14" t="s">
        <v>562</v>
      </c>
      <c r="U71" s="14"/>
      <c r="V71" s="14"/>
    </row>
    <row r="72" spans="1:22" ht="14.45" customHeight="1" x14ac:dyDescent="0.25">
      <c r="A72" s="14" t="s">
        <v>429</v>
      </c>
      <c r="B72" s="15" t="s">
        <v>1</v>
      </c>
      <c r="C72" s="14" t="s">
        <v>50</v>
      </c>
      <c r="D72" s="14" t="s">
        <v>372</v>
      </c>
      <c r="E72" s="14" t="s">
        <v>384</v>
      </c>
      <c r="F72" s="14" t="s">
        <v>171</v>
      </c>
      <c r="G72" s="14" t="str">
        <f t="shared" si="2"/>
        <v>HF11_MP301_100S2_PATH_TEST</v>
      </c>
      <c r="H72" s="14" t="s">
        <v>241</v>
      </c>
      <c r="I72" s="14" t="s">
        <v>263</v>
      </c>
      <c r="J72" s="14" t="s">
        <v>259</v>
      </c>
      <c r="K72" s="14" t="s">
        <v>259</v>
      </c>
      <c r="L72" s="14" t="s">
        <v>30</v>
      </c>
      <c r="M72" s="14" t="s">
        <v>259</v>
      </c>
      <c r="N72" s="14" t="s">
        <v>259</v>
      </c>
      <c r="O72" s="14" t="s">
        <v>259</v>
      </c>
      <c r="P72" s="14" t="s">
        <v>259</v>
      </c>
      <c r="Q72" s="14" t="s">
        <v>247</v>
      </c>
      <c r="R72" s="14" t="s">
        <v>256</v>
      </c>
      <c r="S72" s="14" t="s">
        <v>41</v>
      </c>
      <c r="T72" s="14" t="s">
        <v>563</v>
      </c>
      <c r="U72" s="14"/>
      <c r="V72" s="14"/>
    </row>
    <row r="73" spans="1:22" ht="14.45" customHeight="1" x14ac:dyDescent="0.25">
      <c r="A73" s="14" t="s">
        <v>429</v>
      </c>
      <c r="B73" s="15" t="s">
        <v>1</v>
      </c>
      <c r="C73" s="14" t="s">
        <v>50</v>
      </c>
      <c r="D73" s="14" t="s">
        <v>372</v>
      </c>
      <c r="E73" s="14" t="s">
        <v>384</v>
      </c>
      <c r="F73" s="14" t="s">
        <v>171</v>
      </c>
      <c r="G73" s="14" t="str">
        <f t="shared" si="2"/>
        <v>HF11_MP301_100S2_AUTOMATIC</v>
      </c>
      <c r="H73" s="14" t="s">
        <v>239</v>
      </c>
      <c r="I73" s="14" t="s">
        <v>263</v>
      </c>
      <c r="J73" s="14" t="s">
        <v>259</v>
      </c>
      <c r="K73" s="14" t="s">
        <v>259</v>
      </c>
      <c r="L73" s="14" t="s">
        <v>30</v>
      </c>
      <c r="M73" s="14" t="s">
        <v>259</v>
      </c>
      <c r="N73" s="14" t="s">
        <v>259</v>
      </c>
      <c r="O73" s="14" t="s">
        <v>259</v>
      </c>
      <c r="P73" s="14" t="s">
        <v>259</v>
      </c>
      <c r="Q73" s="14" t="s">
        <v>247</v>
      </c>
      <c r="R73" s="14" t="s">
        <v>256</v>
      </c>
      <c r="S73" s="14" t="s">
        <v>43</v>
      </c>
      <c r="T73" s="14" t="s">
        <v>564</v>
      </c>
      <c r="U73" s="14"/>
      <c r="V73" s="14"/>
    </row>
    <row r="74" spans="1:22" ht="14.45" customHeight="1" x14ac:dyDescent="0.25">
      <c r="A74" s="14" t="s">
        <v>429</v>
      </c>
      <c r="B74" s="15" t="s">
        <v>1</v>
      </c>
      <c r="C74" s="14" t="s">
        <v>50</v>
      </c>
      <c r="D74" s="14" t="s">
        <v>372</v>
      </c>
      <c r="E74" s="14" t="s">
        <v>384</v>
      </c>
      <c r="F74" s="14" t="s">
        <v>171</v>
      </c>
      <c r="G74" s="14" t="str">
        <f t="shared" si="2"/>
        <v>HF11_MP301_100S2_IQ_TEST</v>
      </c>
      <c r="H74" s="14" t="s">
        <v>242</v>
      </c>
      <c r="I74" s="14" t="s">
        <v>263</v>
      </c>
      <c r="J74" s="14" t="s">
        <v>259</v>
      </c>
      <c r="K74" s="14" t="s">
        <v>259</v>
      </c>
      <c r="L74" s="14" t="s">
        <v>30</v>
      </c>
      <c r="M74" s="14" t="s">
        <v>259</v>
      </c>
      <c r="N74" s="14" t="s">
        <v>259</v>
      </c>
      <c r="O74" s="14" t="s">
        <v>259</v>
      </c>
      <c r="P74" s="14" t="s">
        <v>259</v>
      </c>
      <c r="Q74" s="14" t="s">
        <v>247</v>
      </c>
      <c r="R74" s="14" t="s">
        <v>256</v>
      </c>
      <c r="S74" s="14" t="s">
        <v>44</v>
      </c>
      <c r="T74" s="14" t="s">
        <v>565</v>
      </c>
      <c r="U74" s="14"/>
      <c r="V74" s="14"/>
    </row>
    <row r="75" spans="1:22" ht="14.45" customHeight="1" x14ac:dyDescent="0.25">
      <c r="A75" s="14" t="s">
        <v>429</v>
      </c>
      <c r="B75" s="15" t="s">
        <v>1</v>
      </c>
      <c r="C75" s="14" t="s">
        <v>48</v>
      </c>
      <c r="D75" s="14" t="s">
        <v>372</v>
      </c>
      <c r="E75" s="14" t="s">
        <v>384</v>
      </c>
      <c r="F75" s="14" t="s">
        <v>90</v>
      </c>
      <c r="G75" s="14" t="str">
        <f t="shared" si="2"/>
        <v>HF11_MP301_100S3_INTRODUCTION</v>
      </c>
      <c r="H75" s="14" t="s">
        <v>196</v>
      </c>
      <c r="I75" s="14" t="s">
        <v>263</v>
      </c>
      <c r="J75" s="14" t="s">
        <v>259</v>
      </c>
      <c r="K75" s="14" t="s">
        <v>259</v>
      </c>
      <c r="L75" s="14" t="s">
        <v>30</v>
      </c>
      <c r="M75" s="14" t="s">
        <v>259</v>
      </c>
      <c r="N75" s="14" t="s">
        <v>259</v>
      </c>
      <c r="O75" s="14" t="s">
        <v>259</v>
      </c>
      <c r="P75" s="14" t="s">
        <v>259</v>
      </c>
      <c r="Q75" s="14" t="s">
        <v>247</v>
      </c>
      <c r="R75" s="14" t="s">
        <v>256</v>
      </c>
      <c r="S75" s="14" t="s">
        <v>45</v>
      </c>
      <c r="T75" s="14" t="s">
        <v>566</v>
      </c>
      <c r="U75" s="14"/>
      <c r="V75" s="14"/>
    </row>
    <row r="76" spans="1:22" ht="14.45" customHeight="1" x14ac:dyDescent="0.25">
      <c r="A76" s="14" t="s">
        <v>429</v>
      </c>
      <c r="B76" s="15" t="s">
        <v>1</v>
      </c>
      <c r="C76" s="14" t="s">
        <v>50</v>
      </c>
      <c r="D76" s="14" t="s">
        <v>371</v>
      </c>
      <c r="E76" s="14" t="s">
        <v>383</v>
      </c>
      <c r="F76" s="14" t="s">
        <v>92</v>
      </c>
      <c r="G76" s="14" t="str">
        <f t="shared" si="2"/>
        <v>HF11_MP201_100S2_IQ_TEST_EN_COURSE__PICK_UP</v>
      </c>
      <c r="H76" s="14" t="s">
        <v>198</v>
      </c>
      <c r="I76" s="14" t="s">
        <v>262</v>
      </c>
      <c r="J76" s="14" t="s">
        <v>259</v>
      </c>
      <c r="K76" s="14" t="s">
        <v>259</v>
      </c>
      <c r="L76" s="14" t="s">
        <v>30</v>
      </c>
      <c r="M76" s="14" t="s">
        <v>259</v>
      </c>
      <c r="N76" s="14" t="s">
        <v>259</v>
      </c>
      <c r="O76" s="14" t="s">
        <v>259</v>
      </c>
      <c r="P76" s="14" t="s">
        <v>259</v>
      </c>
      <c r="Q76" s="14" t="s">
        <v>247</v>
      </c>
      <c r="R76" s="14" t="s">
        <v>430</v>
      </c>
      <c r="S76" s="14" t="s">
        <v>30</v>
      </c>
      <c r="T76" s="14" t="s">
        <v>567</v>
      </c>
      <c r="U76" s="14"/>
      <c r="V76" s="14"/>
    </row>
    <row r="77" spans="1:22" ht="14.45" customHeight="1" x14ac:dyDescent="0.25">
      <c r="A77" s="14" t="s">
        <v>429</v>
      </c>
      <c r="B77" s="15" t="s">
        <v>1</v>
      </c>
      <c r="C77" s="14" t="s">
        <v>53</v>
      </c>
      <c r="D77" s="14" t="s">
        <v>377</v>
      </c>
      <c r="E77" s="14" t="s">
        <v>389</v>
      </c>
      <c r="F77" s="14" t="s">
        <v>97</v>
      </c>
      <c r="G77" s="14" t="str">
        <f t="shared" si="2"/>
        <v>HF11_OP801_100S1_SEND</v>
      </c>
      <c r="H77" s="14" t="s">
        <v>201</v>
      </c>
      <c r="I77" s="14" t="s">
        <v>276</v>
      </c>
      <c r="J77" s="14" t="s">
        <v>259</v>
      </c>
      <c r="K77" s="14" t="s">
        <v>259</v>
      </c>
      <c r="L77" s="14" t="s">
        <v>30</v>
      </c>
      <c r="M77" s="14" t="s">
        <v>259</v>
      </c>
      <c r="N77" s="14" t="s">
        <v>259</v>
      </c>
      <c r="O77" s="14" t="s">
        <v>259</v>
      </c>
      <c r="P77" s="14" t="s">
        <v>259</v>
      </c>
      <c r="Q77" s="14" t="s">
        <v>247</v>
      </c>
      <c r="R77" s="14" t="s">
        <v>430</v>
      </c>
      <c r="S77" s="14" t="s">
        <v>31</v>
      </c>
      <c r="T77" s="14" t="s">
        <v>568</v>
      </c>
      <c r="U77" s="14"/>
      <c r="V77" s="14"/>
    </row>
    <row r="78" spans="1:22" ht="14.45" customHeight="1" x14ac:dyDescent="0.25">
      <c r="A78" s="14" t="s">
        <v>429</v>
      </c>
      <c r="B78" s="15" t="s">
        <v>1</v>
      </c>
      <c r="C78" s="14" t="s">
        <v>50</v>
      </c>
      <c r="D78" s="14" t="s">
        <v>377</v>
      </c>
      <c r="E78" s="14" t="s">
        <v>389</v>
      </c>
      <c r="F78" s="14" t="s">
        <v>172</v>
      </c>
      <c r="G78" s="14" t="str">
        <f t="shared" si="2"/>
        <v>HF11_OP801_100S2_BAGGAGE_RETURN</v>
      </c>
      <c r="H78" s="14" t="s">
        <v>243</v>
      </c>
      <c r="I78" s="14" t="s">
        <v>276</v>
      </c>
      <c r="J78" s="14" t="s">
        <v>259</v>
      </c>
      <c r="K78" s="14" t="s">
        <v>259</v>
      </c>
      <c r="L78" s="14" t="s">
        <v>30</v>
      </c>
      <c r="M78" s="14" t="s">
        <v>259</v>
      </c>
      <c r="N78" s="14" t="s">
        <v>259</v>
      </c>
      <c r="O78" s="14" t="s">
        <v>259</v>
      </c>
      <c r="P78" s="14" t="s">
        <v>259</v>
      </c>
      <c r="Q78" s="14" t="s">
        <v>247</v>
      </c>
      <c r="R78" s="14" t="s">
        <v>430</v>
      </c>
      <c r="S78" s="14" t="s">
        <v>42</v>
      </c>
      <c r="T78" s="14" t="s">
        <v>569</v>
      </c>
      <c r="U78" s="14"/>
      <c r="V78" s="14"/>
    </row>
    <row r="79" spans="1:22" ht="14.45" customHeight="1" x14ac:dyDescent="0.25">
      <c r="A79" s="14" t="s">
        <v>429</v>
      </c>
      <c r="B79" s="15" t="s">
        <v>1</v>
      </c>
      <c r="C79" s="14" t="s">
        <v>53</v>
      </c>
      <c r="D79" s="14" t="s">
        <v>378</v>
      </c>
      <c r="E79" s="14" t="s">
        <v>390</v>
      </c>
      <c r="F79" s="14" t="s">
        <v>173</v>
      </c>
      <c r="G79" s="14" t="str">
        <f t="shared" si="2"/>
        <v>HF11_OP802_100S1_OVERSIZE_COMMISIONING</v>
      </c>
      <c r="H79" s="14" t="s">
        <v>244</v>
      </c>
      <c r="I79" s="14" t="s">
        <v>277</v>
      </c>
      <c r="J79" s="14" t="s">
        <v>259</v>
      </c>
      <c r="K79" s="14" t="s">
        <v>259</v>
      </c>
      <c r="L79" s="14" t="s">
        <v>30</v>
      </c>
      <c r="M79" s="14" t="s">
        <v>259</v>
      </c>
      <c r="N79" s="14" t="s">
        <v>259</v>
      </c>
      <c r="O79" s="14" t="s">
        <v>259</v>
      </c>
      <c r="P79" s="14" t="s">
        <v>259</v>
      </c>
      <c r="Q79" s="14" t="s">
        <v>247</v>
      </c>
      <c r="R79" s="14" t="s">
        <v>430</v>
      </c>
      <c r="S79" s="14" t="s">
        <v>32</v>
      </c>
      <c r="T79" s="14" t="s">
        <v>570</v>
      </c>
      <c r="U79" s="14"/>
      <c r="V79" s="14"/>
    </row>
    <row r="80" spans="1:22" ht="14.45" customHeight="1" x14ac:dyDescent="0.25">
      <c r="A80" s="14" t="s">
        <v>429</v>
      </c>
      <c r="B80" s="15" t="s">
        <v>1</v>
      </c>
      <c r="C80" s="15" t="s">
        <v>446</v>
      </c>
      <c r="D80" s="14" t="s">
        <v>451</v>
      </c>
      <c r="E80" s="14" t="s">
        <v>450</v>
      </c>
      <c r="F80" s="15" t="s">
        <v>447</v>
      </c>
      <c r="G80" s="14" t="str">
        <f t="shared" si="2"/>
        <v>HF11_EK001_100K1_SAFETY_DOOR_ACTUATOR_INSERTED</v>
      </c>
      <c r="H80" s="14" t="s">
        <v>453</v>
      </c>
      <c r="I80" s="15" t="s">
        <v>452</v>
      </c>
      <c r="J80" s="14" t="s">
        <v>259</v>
      </c>
      <c r="K80" s="14" t="s">
        <v>259</v>
      </c>
      <c r="L80" s="14" t="s">
        <v>30</v>
      </c>
      <c r="M80" s="14" t="s">
        <v>259</v>
      </c>
      <c r="N80" s="14" t="s">
        <v>259</v>
      </c>
      <c r="O80" s="14" t="s">
        <v>259</v>
      </c>
      <c r="P80" s="14" t="s">
        <v>259</v>
      </c>
      <c r="Q80" s="14" t="s">
        <v>247</v>
      </c>
      <c r="R80" s="14" t="s">
        <v>430</v>
      </c>
      <c r="S80" s="14" t="s">
        <v>33</v>
      </c>
      <c r="T80" s="14" t="s">
        <v>571</v>
      </c>
      <c r="U80" s="14"/>
      <c r="V80" s="14"/>
    </row>
    <row r="81" spans="1:22" ht="14.45" customHeight="1" x14ac:dyDescent="0.25">
      <c r="A81" s="14" t="s">
        <v>429</v>
      </c>
      <c r="B81" s="15" t="s">
        <v>1</v>
      </c>
      <c r="C81" s="15" t="s">
        <v>446</v>
      </c>
      <c r="D81" s="14" t="s">
        <v>451</v>
      </c>
      <c r="E81" s="14" t="s">
        <v>450</v>
      </c>
      <c r="F81" s="15" t="s">
        <v>447</v>
      </c>
      <c r="G81" s="14" t="str">
        <f t="shared" si="2"/>
        <v>HF11_EK001_100K1_SAFETY_DOOR_ACTUATOR_INSERTED_AND_LOCKED</v>
      </c>
      <c r="H81" s="14" t="s">
        <v>454</v>
      </c>
      <c r="I81" s="15" t="s">
        <v>452</v>
      </c>
      <c r="J81" s="14" t="s">
        <v>259</v>
      </c>
      <c r="K81" s="14" t="s">
        <v>259</v>
      </c>
      <c r="L81" s="14" t="s">
        <v>30</v>
      </c>
      <c r="M81" s="14" t="s">
        <v>259</v>
      </c>
      <c r="N81" s="14" t="s">
        <v>259</v>
      </c>
      <c r="O81" s="14" t="s">
        <v>259</v>
      </c>
      <c r="P81" s="14" t="s">
        <v>259</v>
      </c>
      <c r="Q81" s="14" t="s">
        <v>247</v>
      </c>
      <c r="R81" s="14" t="s">
        <v>430</v>
      </c>
      <c r="S81" s="14" t="s">
        <v>34</v>
      </c>
      <c r="T81" s="14" t="s">
        <v>572</v>
      </c>
      <c r="U81" s="14"/>
      <c r="V81" s="14"/>
    </row>
    <row r="82" spans="1:22" ht="14.45" customHeight="1" x14ac:dyDescent="0.25">
      <c r="A82" s="14" t="s">
        <v>460</v>
      </c>
      <c r="B82" s="15" t="s">
        <v>1</v>
      </c>
      <c r="C82" s="15" t="s">
        <v>269</v>
      </c>
      <c r="D82" s="14"/>
      <c r="E82" s="14" t="s">
        <v>259</v>
      </c>
      <c r="F82" s="15" t="s">
        <v>153</v>
      </c>
      <c r="G82" s="14" t="str">
        <f t="shared" si="2"/>
        <v>MCPHF11_450X1_6_SPARE</v>
      </c>
      <c r="H82" s="14" t="s">
        <v>192</v>
      </c>
      <c r="I82" s="14" t="s">
        <v>259</v>
      </c>
      <c r="J82" s="14" t="s">
        <v>259</v>
      </c>
      <c r="K82" s="14" t="s">
        <v>259</v>
      </c>
      <c r="L82" s="14" t="s">
        <v>30</v>
      </c>
      <c r="M82" s="14" t="s">
        <v>259</v>
      </c>
      <c r="N82" s="14" t="s">
        <v>259</v>
      </c>
      <c r="O82" s="14" t="s">
        <v>259</v>
      </c>
      <c r="P82" s="14" t="s">
        <v>259</v>
      </c>
      <c r="Q82" s="14" t="s">
        <v>247</v>
      </c>
      <c r="R82" s="14" t="s">
        <v>430</v>
      </c>
      <c r="S82" s="14" t="s">
        <v>35</v>
      </c>
      <c r="T82" s="14" t="s">
        <v>573</v>
      </c>
      <c r="U82" s="14"/>
      <c r="V82" s="14"/>
    </row>
    <row r="83" spans="1:22" ht="14.45" customHeight="1" x14ac:dyDescent="0.25">
      <c r="A83" s="14" t="s">
        <v>460</v>
      </c>
      <c r="B83" s="15" t="s">
        <v>1</v>
      </c>
      <c r="C83" s="14" t="s">
        <v>278</v>
      </c>
      <c r="D83" s="14"/>
      <c r="E83" s="14" t="s">
        <v>259</v>
      </c>
      <c r="F83" s="14" t="s">
        <v>174</v>
      </c>
      <c r="G83" s="14" t="str">
        <f t="shared" si="2"/>
        <v>MCPHF11_450X1_8_SPARE</v>
      </c>
      <c r="H83" s="14" t="s">
        <v>192</v>
      </c>
      <c r="I83" s="14" t="s">
        <v>259</v>
      </c>
      <c r="J83" s="14" t="s">
        <v>259</v>
      </c>
      <c r="K83" s="14" t="s">
        <v>259</v>
      </c>
      <c r="L83" s="14" t="s">
        <v>30</v>
      </c>
      <c r="M83" s="14" t="s">
        <v>259</v>
      </c>
      <c r="N83" s="14" t="s">
        <v>259</v>
      </c>
      <c r="O83" s="14" t="s">
        <v>259</v>
      </c>
      <c r="P83" s="14" t="s">
        <v>259</v>
      </c>
      <c r="Q83" s="14" t="s">
        <v>247</v>
      </c>
      <c r="R83" s="14" t="s">
        <v>430</v>
      </c>
      <c r="S83" s="14" t="s">
        <v>36</v>
      </c>
      <c r="T83" s="14" t="s">
        <v>574</v>
      </c>
      <c r="U83" s="14"/>
      <c r="V83" s="14"/>
    </row>
    <row r="84" spans="1:22" ht="14.45" customHeight="1" x14ac:dyDescent="0.25">
      <c r="A84" s="14" t="s">
        <v>460</v>
      </c>
      <c r="B84" s="15" t="s">
        <v>1</v>
      </c>
      <c r="C84" s="14" t="s">
        <v>397</v>
      </c>
      <c r="D84" s="14"/>
      <c r="E84" s="14" t="s">
        <v>259</v>
      </c>
      <c r="F84" s="14" t="s">
        <v>175</v>
      </c>
      <c r="G84" s="14" t="str">
        <f t="shared" si="2"/>
        <v>MCPHF11_450X1_10_SPARE</v>
      </c>
      <c r="H84" s="14" t="s">
        <v>192</v>
      </c>
      <c r="I84" s="14" t="s">
        <v>259</v>
      </c>
      <c r="J84" s="14" t="s">
        <v>259</v>
      </c>
      <c r="K84" s="14" t="s">
        <v>259</v>
      </c>
      <c r="L84" s="14" t="s">
        <v>30</v>
      </c>
      <c r="M84" s="14" t="s">
        <v>259</v>
      </c>
      <c r="N84" s="14" t="s">
        <v>259</v>
      </c>
      <c r="O84" s="14" t="s">
        <v>259</v>
      </c>
      <c r="P84" s="14" t="s">
        <v>259</v>
      </c>
      <c r="Q84" s="14" t="s">
        <v>247</v>
      </c>
      <c r="R84" s="14" t="s">
        <v>430</v>
      </c>
      <c r="S84" s="14" t="s">
        <v>37</v>
      </c>
      <c r="T84" s="14" t="s">
        <v>575</v>
      </c>
      <c r="U84" s="14"/>
      <c r="V84" s="14"/>
    </row>
    <row r="85" spans="1:22" ht="14.45" customHeight="1" x14ac:dyDescent="0.25">
      <c r="A85" s="14" t="s">
        <v>460</v>
      </c>
      <c r="B85" s="15" t="s">
        <v>1</v>
      </c>
      <c r="C85" s="14" t="s">
        <v>398</v>
      </c>
      <c r="D85" s="14"/>
      <c r="E85" s="14" t="s">
        <v>259</v>
      </c>
      <c r="F85" s="14" t="s">
        <v>176</v>
      </c>
      <c r="G85" s="14" t="str">
        <f t="shared" si="2"/>
        <v>MCPHF11_450X1_12_SPARE</v>
      </c>
      <c r="H85" s="14" t="s">
        <v>192</v>
      </c>
      <c r="I85" s="14" t="s">
        <v>259</v>
      </c>
      <c r="J85" s="14" t="s">
        <v>259</v>
      </c>
      <c r="K85" s="14" t="s">
        <v>259</v>
      </c>
      <c r="L85" s="14" t="s">
        <v>30</v>
      </c>
      <c r="M85" s="14" t="s">
        <v>259</v>
      </c>
      <c r="N85" s="14" t="s">
        <v>259</v>
      </c>
      <c r="O85" s="14" t="s">
        <v>259</v>
      </c>
      <c r="P85" s="14" t="s">
        <v>259</v>
      </c>
      <c r="Q85" s="14" t="s">
        <v>247</v>
      </c>
      <c r="R85" s="14" t="s">
        <v>430</v>
      </c>
      <c r="S85" s="14" t="s">
        <v>38</v>
      </c>
      <c r="T85" s="14" t="s">
        <v>576</v>
      </c>
      <c r="U85" s="14"/>
      <c r="V85" s="14"/>
    </row>
    <row r="86" spans="1:22" ht="14.45" customHeight="1" x14ac:dyDescent="0.25">
      <c r="A86" s="14" t="s">
        <v>460</v>
      </c>
      <c r="B86" s="15" t="s">
        <v>1</v>
      </c>
      <c r="C86" s="14" t="s">
        <v>399</v>
      </c>
      <c r="D86" s="14"/>
      <c r="E86" s="14" t="s">
        <v>259</v>
      </c>
      <c r="F86" s="14" t="s">
        <v>177</v>
      </c>
      <c r="G86" s="14" t="str">
        <f t="shared" si="2"/>
        <v>MCPHF11_450X1_14_SPARE</v>
      </c>
      <c r="H86" s="14" t="s">
        <v>192</v>
      </c>
      <c r="I86" s="14" t="s">
        <v>259</v>
      </c>
      <c r="J86" s="14" t="s">
        <v>259</v>
      </c>
      <c r="K86" s="14" t="s">
        <v>259</v>
      </c>
      <c r="L86" s="14" t="s">
        <v>30</v>
      </c>
      <c r="M86" s="14" t="s">
        <v>259</v>
      </c>
      <c r="N86" s="14" t="s">
        <v>259</v>
      </c>
      <c r="O86" s="14" t="s">
        <v>259</v>
      </c>
      <c r="P86" s="14" t="s">
        <v>259</v>
      </c>
      <c r="Q86" s="14" t="s">
        <v>247</v>
      </c>
      <c r="R86" s="14" t="s">
        <v>430</v>
      </c>
      <c r="S86" s="14" t="s">
        <v>39</v>
      </c>
      <c r="T86" s="14" t="s">
        <v>577</v>
      </c>
      <c r="U86" s="14"/>
      <c r="V86" s="14"/>
    </row>
    <row r="87" spans="1:22" ht="14.45" customHeight="1" x14ac:dyDescent="0.25">
      <c r="A87" s="14" t="s">
        <v>460</v>
      </c>
      <c r="B87" s="15" t="s">
        <v>1</v>
      </c>
      <c r="C87" s="14" t="s">
        <v>400</v>
      </c>
      <c r="D87" s="14"/>
      <c r="E87" s="14" t="s">
        <v>259</v>
      </c>
      <c r="F87" s="14" t="s">
        <v>178</v>
      </c>
      <c r="G87" s="14" t="str">
        <f t="shared" si="2"/>
        <v>MCPHF11_450X1_16_SPARE</v>
      </c>
      <c r="H87" s="14" t="s">
        <v>192</v>
      </c>
      <c r="I87" s="14" t="s">
        <v>259</v>
      </c>
      <c r="J87" s="14" t="s">
        <v>259</v>
      </c>
      <c r="K87" s="14" t="s">
        <v>259</v>
      </c>
      <c r="L87" s="14" t="s">
        <v>30</v>
      </c>
      <c r="M87" s="14" t="s">
        <v>259</v>
      </c>
      <c r="N87" s="14" t="s">
        <v>259</v>
      </c>
      <c r="O87" s="14" t="s">
        <v>259</v>
      </c>
      <c r="P87" s="14" t="s">
        <v>259</v>
      </c>
      <c r="Q87" s="14" t="s">
        <v>247</v>
      </c>
      <c r="R87" s="14" t="s">
        <v>430</v>
      </c>
      <c r="S87" s="14" t="s">
        <v>40</v>
      </c>
      <c r="T87" s="14" t="s">
        <v>578</v>
      </c>
      <c r="U87" s="14"/>
      <c r="V87" s="14"/>
    </row>
    <row r="88" spans="1:22" ht="14.45" customHeight="1" x14ac:dyDescent="0.25">
      <c r="A88" s="14" t="s">
        <v>460</v>
      </c>
      <c r="B88" s="15" t="s">
        <v>1</v>
      </c>
      <c r="C88" s="14" t="s">
        <v>401</v>
      </c>
      <c r="D88" s="14"/>
      <c r="E88" s="14" t="s">
        <v>259</v>
      </c>
      <c r="F88" s="14" t="s">
        <v>179</v>
      </c>
      <c r="G88" s="14" t="str">
        <f t="shared" si="2"/>
        <v>MCPHF11_450X1_18_SPARE</v>
      </c>
      <c r="H88" s="14" t="s">
        <v>192</v>
      </c>
      <c r="I88" s="14" t="s">
        <v>259</v>
      </c>
      <c r="J88" s="14" t="s">
        <v>259</v>
      </c>
      <c r="K88" s="14" t="s">
        <v>259</v>
      </c>
      <c r="L88" s="14" t="s">
        <v>30</v>
      </c>
      <c r="M88" s="14" t="s">
        <v>259</v>
      </c>
      <c r="N88" s="14" t="s">
        <v>259</v>
      </c>
      <c r="O88" s="14" t="s">
        <v>259</v>
      </c>
      <c r="P88" s="14" t="s">
        <v>259</v>
      </c>
      <c r="Q88" s="14" t="s">
        <v>247</v>
      </c>
      <c r="R88" s="14" t="s">
        <v>430</v>
      </c>
      <c r="S88" s="14" t="s">
        <v>41</v>
      </c>
      <c r="T88" s="14" t="s">
        <v>579</v>
      </c>
      <c r="U88" s="14"/>
      <c r="V88" s="14"/>
    </row>
    <row r="89" spans="1:22" ht="14.45" customHeight="1" x14ac:dyDescent="0.25">
      <c r="A89" s="14" t="s">
        <v>460</v>
      </c>
      <c r="B89" s="15" t="s">
        <v>1</v>
      </c>
      <c r="C89" s="14" t="s">
        <v>402</v>
      </c>
      <c r="D89" s="14"/>
      <c r="E89" s="14" t="s">
        <v>259</v>
      </c>
      <c r="F89" s="14" t="s">
        <v>180</v>
      </c>
      <c r="G89" s="14" t="str">
        <f t="shared" si="2"/>
        <v>MCPHF11_450X1_20_SPARE</v>
      </c>
      <c r="H89" s="14" t="s">
        <v>192</v>
      </c>
      <c r="I89" s="14" t="s">
        <v>259</v>
      </c>
      <c r="J89" s="14" t="s">
        <v>259</v>
      </c>
      <c r="K89" s="14" t="s">
        <v>259</v>
      </c>
      <c r="L89" s="14" t="s">
        <v>30</v>
      </c>
      <c r="M89" s="14" t="s">
        <v>259</v>
      </c>
      <c r="N89" s="14" t="s">
        <v>259</v>
      </c>
      <c r="O89" s="14" t="s">
        <v>259</v>
      </c>
      <c r="P89" s="14" t="s">
        <v>259</v>
      </c>
      <c r="Q89" s="14" t="s">
        <v>247</v>
      </c>
      <c r="R89" s="14" t="s">
        <v>430</v>
      </c>
      <c r="S89" s="14" t="s">
        <v>43</v>
      </c>
      <c r="T89" s="14" t="s">
        <v>580</v>
      </c>
      <c r="U89" s="14"/>
      <c r="V89" s="14"/>
    </row>
    <row r="90" spans="1:22" ht="14.45" customHeight="1" x14ac:dyDescent="0.25">
      <c r="A90" s="14" t="s">
        <v>460</v>
      </c>
      <c r="B90" s="15" t="s">
        <v>1</v>
      </c>
      <c r="C90" s="14" t="s">
        <v>403</v>
      </c>
      <c r="D90" s="14"/>
      <c r="E90" s="14" t="s">
        <v>259</v>
      </c>
      <c r="F90" s="14" t="s">
        <v>181</v>
      </c>
      <c r="G90" s="14" t="str">
        <f t="shared" si="2"/>
        <v>MCPHF11_450X1_22_SPARE</v>
      </c>
      <c r="H90" s="14" t="s">
        <v>192</v>
      </c>
      <c r="I90" s="14" t="s">
        <v>259</v>
      </c>
      <c r="J90" s="14" t="s">
        <v>259</v>
      </c>
      <c r="K90" s="14" t="s">
        <v>259</v>
      </c>
      <c r="L90" s="14" t="s">
        <v>30</v>
      </c>
      <c r="M90" s="14" t="s">
        <v>259</v>
      </c>
      <c r="N90" s="14" t="s">
        <v>259</v>
      </c>
      <c r="O90" s="14" t="s">
        <v>259</v>
      </c>
      <c r="P90" s="14" t="s">
        <v>259</v>
      </c>
      <c r="Q90" s="14" t="s">
        <v>247</v>
      </c>
      <c r="R90" s="14" t="s">
        <v>430</v>
      </c>
      <c r="S90" s="14" t="s">
        <v>44</v>
      </c>
      <c r="T90" s="14" t="s">
        <v>581</v>
      </c>
      <c r="U90" s="14"/>
      <c r="V90" s="14"/>
    </row>
    <row r="91" spans="1:22" ht="14.45" customHeight="1" x14ac:dyDescent="0.25">
      <c r="A91" s="14" t="s">
        <v>460</v>
      </c>
      <c r="B91" s="15" t="s">
        <v>1</v>
      </c>
      <c r="C91" s="14" t="s">
        <v>404</v>
      </c>
      <c r="D91" s="14"/>
      <c r="E91" s="14" t="s">
        <v>259</v>
      </c>
      <c r="F91" s="14" t="s">
        <v>182</v>
      </c>
      <c r="G91" s="14" t="str">
        <f t="shared" si="2"/>
        <v>MCPHF11_450X1_24_SPARE</v>
      </c>
      <c r="H91" s="14" t="s">
        <v>192</v>
      </c>
      <c r="I91" s="14" t="s">
        <v>259</v>
      </c>
      <c r="J91" s="14" t="s">
        <v>259</v>
      </c>
      <c r="K91" s="14" t="s">
        <v>259</v>
      </c>
      <c r="L91" s="14" t="s">
        <v>30</v>
      </c>
      <c r="M91" s="14" t="s">
        <v>259</v>
      </c>
      <c r="N91" s="14" t="s">
        <v>259</v>
      </c>
      <c r="O91" s="14" t="s">
        <v>259</v>
      </c>
      <c r="P91" s="14" t="s">
        <v>259</v>
      </c>
      <c r="Q91" s="14" t="s">
        <v>247</v>
      </c>
      <c r="R91" s="14" t="s">
        <v>430</v>
      </c>
      <c r="S91" s="14" t="s">
        <v>45</v>
      </c>
      <c r="T91" s="14" t="s">
        <v>582</v>
      </c>
      <c r="U91" s="14"/>
      <c r="V91" s="14"/>
    </row>
    <row r="92" spans="1:22" ht="14.45" customHeight="1" x14ac:dyDescent="0.25">
      <c r="A92" s="14" t="s">
        <v>27</v>
      </c>
      <c r="B92" s="15" t="s">
        <v>1</v>
      </c>
      <c r="C92" s="14" t="s">
        <v>47</v>
      </c>
      <c r="D92" s="14"/>
      <c r="E92" s="14"/>
      <c r="F92" s="14" t="s">
        <v>84</v>
      </c>
      <c r="G92" s="14" t="str">
        <f t="shared" si="2"/>
        <v>MCPHF11_350S1_EMERGENCY_PUSHBUTTON_PRESSED</v>
      </c>
      <c r="H92" s="14" t="s">
        <v>245</v>
      </c>
      <c r="I92" s="14" t="s">
        <v>258</v>
      </c>
      <c r="J92" s="14" t="s">
        <v>259</v>
      </c>
      <c r="K92" s="14" t="s">
        <v>259</v>
      </c>
      <c r="L92" s="14" t="s">
        <v>259</v>
      </c>
      <c r="M92" s="14" t="s">
        <v>30</v>
      </c>
      <c r="N92" s="14" t="s">
        <v>259</v>
      </c>
      <c r="O92" s="14" t="s">
        <v>259</v>
      </c>
      <c r="P92" s="14" t="s">
        <v>259</v>
      </c>
      <c r="Q92" s="14" t="s">
        <v>247</v>
      </c>
      <c r="R92" s="14" t="s">
        <v>257</v>
      </c>
      <c r="S92" s="14" t="s">
        <v>30</v>
      </c>
      <c r="T92" s="14" t="s">
        <v>583</v>
      </c>
      <c r="U92" s="14"/>
      <c r="V92" s="14"/>
    </row>
    <row r="93" spans="1:22" ht="14.45" customHeight="1" x14ac:dyDescent="0.25">
      <c r="A93" s="14" t="s">
        <v>27</v>
      </c>
      <c r="B93" s="15" t="s">
        <v>1</v>
      </c>
      <c r="C93" s="14" t="s">
        <v>81</v>
      </c>
      <c r="D93" s="14"/>
      <c r="E93" s="14"/>
      <c r="F93" s="14" t="s">
        <v>183</v>
      </c>
      <c r="G93" s="14" t="str">
        <f t="shared" si="2"/>
        <v>MCPHF11_500P1_ACTIVE_EMERGENCY_STOP</v>
      </c>
      <c r="H93" s="14" t="s">
        <v>197</v>
      </c>
      <c r="I93" s="14" t="s">
        <v>258</v>
      </c>
      <c r="J93" s="14" t="s">
        <v>259</v>
      </c>
      <c r="K93" s="14" t="s">
        <v>259</v>
      </c>
      <c r="L93" s="14" t="s">
        <v>259</v>
      </c>
      <c r="M93" s="14" t="s">
        <v>30</v>
      </c>
      <c r="N93" s="14" t="s">
        <v>259</v>
      </c>
      <c r="O93" s="14" t="s">
        <v>259</v>
      </c>
      <c r="P93" s="14" t="s">
        <v>259</v>
      </c>
      <c r="Q93" s="14" t="s">
        <v>247</v>
      </c>
      <c r="R93" s="14" t="s">
        <v>257</v>
      </c>
      <c r="S93" s="14" t="s">
        <v>31</v>
      </c>
      <c r="T93" s="14" t="s">
        <v>584</v>
      </c>
      <c r="U93" s="14"/>
      <c r="V93" s="14"/>
    </row>
    <row r="94" spans="1:22" ht="14.45" customHeight="1" x14ac:dyDescent="0.25">
      <c r="A94" s="14" t="s">
        <v>27</v>
      </c>
      <c r="B94" s="15" t="s">
        <v>1</v>
      </c>
      <c r="C94" s="14" t="s">
        <v>82</v>
      </c>
      <c r="D94" s="14"/>
      <c r="E94" s="14"/>
      <c r="F94" s="14" t="s">
        <v>184</v>
      </c>
      <c r="G94" s="14" t="str">
        <f t="shared" si="2"/>
        <v>MCPHF11_210F1_ELECTRONIC_FUSE_24VDC_DISTRIBUTION_RESET</v>
      </c>
      <c r="H94" s="14" t="s">
        <v>246</v>
      </c>
      <c r="I94" s="14" t="s">
        <v>258</v>
      </c>
      <c r="J94" s="14" t="s">
        <v>259</v>
      </c>
      <c r="K94" s="14" t="s">
        <v>259</v>
      </c>
      <c r="L94" s="14" t="s">
        <v>259</v>
      </c>
      <c r="M94" s="14" t="s">
        <v>30</v>
      </c>
      <c r="N94" s="14" t="s">
        <v>259</v>
      </c>
      <c r="O94" s="14" t="s">
        <v>259</v>
      </c>
      <c r="P94" s="14" t="s">
        <v>259</v>
      </c>
      <c r="Q94" s="14" t="s">
        <v>247</v>
      </c>
      <c r="R94" s="14" t="s">
        <v>257</v>
      </c>
      <c r="S94" s="14" t="s">
        <v>42</v>
      </c>
      <c r="T94" s="14" t="s">
        <v>585</v>
      </c>
      <c r="U94" s="14"/>
      <c r="V94" s="14"/>
    </row>
    <row r="95" spans="1:22" ht="14.45" customHeight="1" x14ac:dyDescent="0.25">
      <c r="A95" s="14" t="s">
        <v>460</v>
      </c>
      <c r="B95" s="15" t="s">
        <v>1</v>
      </c>
      <c r="C95" s="15" t="s">
        <v>483</v>
      </c>
      <c r="D95" s="14" t="s">
        <v>346</v>
      </c>
      <c r="E95" s="14"/>
      <c r="F95" s="15" t="s">
        <v>487</v>
      </c>
      <c r="G95" s="14" t="str">
        <f t="shared" si="2"/>
        <v>MCPHF11_500K1_POWER_ON_XRAY_HF11_XR003</v>
      </c>
      <c r="H95" s="14" t="s">
        <v>491</v>
      </c>
      <c r="I95" s="14" t="s">
        <v>258</v>
      </c>
      <c r="J95" s="14" t="s">
        <v>259</v>
      </c>
      <c r="K95" s="14" t="s">
        <v>259</v>
      </c>
      <c r="L95" s="14" t="s">
        <v>259</v>
      </c>
      <c r="M95" s="14" t="s">
        <v>30</v>
      </c>
      <c r="N95" s="14" t="s">
        <v>259</v>
      </c>
      <c r="O95" s="14" t="s">
        <v>259</v>
      </c>
      <c r="P95" s="14" t="s">
        <v>259</v>
      </c>
      <c r="Q95" s="14" t="s">
        <v>247</v>
      </c>
      <c r="R95" s="14" t="s">
        <v>257</v>
      </c>
      <c r="S95" s="14" t="s">
        <v>32</v>
      </c>
      <c r="T95" s="14" t="s">
        <v>586</v>
      </c>
      <c r="U95" s="14"/>
      <c r="V95" s="14"/>
    </row>
    <row r="96" spans="1:22" ht="14.45" customHeight="1" x14ac:dyDescent="0.25">
      <c r="A96" s="14" t="s">
        <v>460</v>
      </c>
      <c r="B96" s="15" t="s">
        <v>1</v>
      </c>
      <c r="C96" s="15" t="s">
        <v>484</v>
      </c>
      <c r="D96" s="14" t="s">
        <v>346</v>
      </c>
      <c r="E96" s="14" t="s">
        <v>259</v>
      </c>
      <c r="F96" s="15" t="s">
        <v>488</v>
      </c>
      <c r="G96" s="14" t="str">
        <f t="shared" si="2"/>
        <v>MCPHF11_500K2_EMERGENCY_RESET_XRAY_HF11_XR003</v>
      </c>
      <c r="H96" s="14" t="s">
        <v>492</v>
      </c>
      <c r="I96" s="14" t="s">
        <v>258</v>
      </c>
      <c r="J96" s="14" t="s">
        <v>259</v>
      </c>
      <c r="K96" s="14" t="s">
        <v>259</v>
      </c>
      <c r="L96" s="14" t="s">
        <v>259</v>
      </c>
      <c r="M96" s="14" t="s">
        <v>30</v>
      </c>
      <c r="N96" s="14" t="s">
        <v>259</v>
      </c>
      <c r="O96" s="14" t="s">
        <v>259</v>
      </c>
      <c r="P96" s="14" t="s">
        <v>259</v>
      </c>
      <c r="Q96" s="14" t="s">
        <v>247</v>
      </c>
      <c r="R96" s="14" t="s">
        <v>257</v>
      </c>
      <c r="S96" s="14" t="s">
        <v>33</v>
      </c>
      <c r="T96" s="14" t="s">
        <v>587</v>
      </c>
      <c r="U96" s="14"/>
      <c r="V96" s="14"/>
    </row>
    <row r="97" spans="1:22" ht="14.45" customHeight="1" x14ac:dyDescent="0.25">
      <c r="A97" s="14" t="s">
        <v>460</v>
      </c>
      <c r="B97" s="15" t="s">
        <v>1</v>
      </c>
      <c r="C97" s="15" t="s">
        <v>485</v>
      </c>
      <c r="D97" s="14" t="s">
        <v>346</v>
      </c>
      <c r="E97" s="14" t="s">
        <v>259</v>
      </c>
      <c r="F97" s="15" t="s">
        <v>489</v>
      </c>
      <c r="G97" s="14" t="str">
        <f t="shared" si="2"/>
        <v>MCPHF11_500K3_NO_SCAN_XRAY_HF11_XR003</v>
      </c>
      <c r="H97" s="14" t="s">
        <v>493</v>
      </c>
      <c r="I97" s="14" t="s">
        <v>258</v>
      </c>
      <c r="J97" s="14" t="s">
        <v>259</v>
      </c>
      <c r="K97" s="14" t="s">
        <v>259</v>
      </c>
      <c r="L97" s="14" t="s">
        <v>259</v>
      </c>
      <c r="M97" s="14" t="s">
        <v>30</v>
      </c>
      <c r="N97" s="14" t="s">
        <v>259</v>
      </c>
      <c r="O97" s="14" t="s">
        <v>259</v>
      </c>
      <c r="P97" s="14" t="s">
        <v>259</v>
      </c>
      <c r="Q97" s="14" t="s">
        <v>247</v>
      </c>
      <c r="R97" s="14" t="s">
        <v>257</v>
      </c>
      <c r="S97" s="14" t="s">
        <v>34</v>
      </c>
      <c r="T97" s="14" t="s">
        <v>588</v>
      </c>
      <c r="U97" s="14"/>
      <c r="V97" s="14"/>
    </row>
    <row r="98" spans="1:22" ht="14.45" customHeight="1" x14ac:dyDescent="0.25">
      <c r="A98" s="14" t="s">
        <v>460</v>
      </c>
      <c r="B98" s="15" t="s">
        <v>1</v>
      </c>
      <c r="C98" s="15" t="s">
        <v>486</v>
      </c>
      <c r="D98" s="14" t="s">
        <v>346</v>
      </c>
      <c r="E98" s="14" t="s">
        <v>259</v>
      </c>
      <c r="F98" s="15" t="s">
        <v>490</v>
      </c>
      <c r="G98" s="14" t="str">
        <f t="shared" si="2"/>
        <v>MCPHF11_500K4_CONVEYOR_ON_XRAY_HF11_XR003</v>
      </c>
      <c r="H98" s="14" t="s">
        <v>494</v>
      </c>
      <c r="I98" s="14" t="s">
        <v>258</v>
      </c>
      <c r="J98" s="14" t="s">
        <v>259</v>
      </c>
      <c r="K98" s="14" t="s">
        <v>259</v>
      </c>
      <c r="L98" s="14" t="s">
        <v>259</v>
      </c>
      <c r="M98" s="14" t="s">
        <v>30</v>
      </c>
      <c r="N98" s="14" t="s">
        <v>259</v>
      </c>
      <c r="O98" s="14" t="s">
        <v>259</v>
      </c>
      <c r="P98" s="14" t="s">
        <v>259</v>
      </c>
      <c r="Q98" s="14" t="s">
        <v>247</v>
      </c>
      <c r="R98" s="14" t="s">
        <v>257</v>
      </c>
      <c r="S98" s="14" t="s">
        <v>35</v>
      </c>
      <c r="T98" s="14" t="s">
        <v>589</v>
      </c>
      <c r="U98" s="14"/>
      <c r="V98" s="14"/>
    </row>
    <row r="99" spans="1:22" ht="14.45" customHeight="1" x14ac:dyDescent="0.25">
      <c r="A99" s="14" t="s">
        <v>27</v>
      </c>
      <c r="B99" s="15" t="s">
        <v>1</v>
      </c>
      <c r="C99" s="14" t="s">
        <v>405</v>
      </c>
      <c r="D99" s="14"/>
      <c r="E99" s="14" t="s">
        <v>259</v>
      </c>
      <c r="F99" s="14" t="s">
        <v>185</v>
      </c>
      <c r="G99" s="14" t="str">
        <f t="shared" si="2"/>
        <v>MCPHF11_500X1_10_SPARE</v>
      </c>
      <c r="H99" s="14" t="s">
        <v>192</v>
      </c>
      <c r="I99" s="14" t="s">
        <v>259</v>
      </c>
      <c r="J99" s="14" t="s">
        <v>259</v>
      </c>
      <c r="K99" s="14" t="s">
        <v>259</v>
      </c>
      <c r="L99" s="14" t="s">
        <v>259</v>
      </c>
      <c r="M99" s="14" t="s">
        <v>30</v>
      </c>
      <c r="N99" s="14" t="s">
        <v>259</v>
      </c>
      <c r="O99" s="14" t="s">
        <v>259</v>
      </c>
      <c r="P99" s="14" t="s">
        <v>259</v>
      </c>
      <c r="Q99" s="14" t="s">
        <v>247</v>
      </c>
      <c r="R99" s="14" t="s">
        <v>257</v>
      </c>
      <c r="S99" s="14" t="s">
        <v>36</v>
      </c>
      <c r="T99" s="14" t="s">
        <v>590</v>
      </c>
      <c r="U99" s="14"/>
      <c r="V99" s="14"/>
    </row>
    <row r="100" spans="1:22" ht="14.45" customHeight="1" x14ac:dyDescent="0.25">
      <c r="A100" s="14" t="s">
        <v>27</v>
      </c>
      <c r="B100" s="15" t="s">
        <v>1</v>
      </c>
      <c r="C100" s="14" t="s">
        <v>83</v>
      </c>
      <c r="D100" s="14" t="s">
        <v>346</v>
      </c>
      <c r="E100" s="14"/>
      <c r="F100" s="14" t="s">
        <v>186</v>
      </c>
      <c r="G100" s="14" t="str">
        <f t="shared" ref="G100:G131" si="3">SUBSTITUTE(SUBSTITUTE(SUBSTITUTE(SUBSTITUTE(SUBSTITUTE(SUBSTITUTE(SUBSTITUTE(SUBSTITUTE(SUBSTITUTE(SUBSTITUTE(SUBSTITUTE(SUBSTITUTE(SUBSTITUTE(SUBSTITUTE(SUBSTITUTE(SUBSTITUTE(IF(LEFT(F100,1)="=",RIGHT(F100,LEN(F100)-1),F100)&amp;"_"&amp;H100," - ","_"),"-","_")," ","_"),"+","_"),":","_"),".","_"),"NT23__",""),"__","_"),"__","_"),"__","_"),"__","_"),"AE00_",""),"AE01_",""),"&amp;_",""),",",""),"/","")</f>
        <v>MCPHF11_501P1_RUNNING_LIGHT_TOWER</v>
      </c>
      <c r="H100" s="14" t="s">
        <v>202</v>
      </c>
      <c r="I100" s="14" t="s">
        <v>258</v>
      </c>
      <c r="J100" s="14" t="s">
        <v>259</v>
      </c>
      <c r="K100" s="14" t="s">
        <v>259</v>
      </c>
      <c r="L100" s="14" t="s">
        <v>259</v>
      </c>
      <c r="M100" s="14" t="s">
        <v>30</v>
      </c>
      <c r="N100" s="14" t="s">
        <v>259</v>
      </c>
      <c r="O100" s="14" t="s">
        <v>259</v>
      </c>
      <c r="P100" s="14" t="s">
        <v>259</v>
      </c>
      <c r="Q100" s="14" t="s">
        <v>247</v>
      </c>
      <c r="R100" s="14" t="s">
        <v>257</v>
      </c>
      <c r="S100" s="14" t="s">
        <v>37</v>
      </c>
      <c r="T100" s="14" t="s">
        <v>591</v>
      </c>
      <c r="U100" s="14"/>
      <c r="V100" s="14"/>
    </row>
    <row r="101" spans="1:22" ht="14.45" customHeight="1" x14ac:dyDescent="0.25">
      <c r="A101" s="14" t="s">
        <v>27</v>
      </c>
      <c r="B101" s="15" t="s">
        <v>1</v>
      </c>
      <c r="C101" s="14" t="s">
        <v>83</v>
      </c>
      <c r="D101" s="14" t="s">
        <v>346</v>
      </c>
      <c r="E101" s="14"/>
      <c r="F101" s="14" t="s">
        <v>186</v>
      </c>
      <c r="G101" s="14" t="str">
        <f t="shared" si="3"/>
        <v>MCPHF11_501P1_FAULT_LIGHT_TOWER</v>
      </c>
      <c r="H101" s="14" t="s">
        <v>203</v>
      </c>
      <c r="I101" s="14" t="s">
        <v>258</v>
      </c>
      <c r="J101" s="14" t="s">
        <v>259</v>
      </c>
      <c r="K101" s="14" t="s">
        <v>259</v>
      </c>
      <c r="L101" s="14" t="s">
        <v>259</v>
      </c>
      <c r="M101" s="14" t="s">
        <v>30</v>
      </c>
      <c r="N101" s="14" t="s">
        <v>259</v>
      </c>
      <c r="O101" s="14" t="s">
        <v>259</v>
      </c>
      <c r="P101" s="14" t="s">
        <v>259</v>
      </c>
      <c r="Q101" s="14" t="s">
        <v>247</v>
      </c>
      <c r="R101" s="14" t="s">
        <v>257</v>
      </c>
      <c r="S101" s="14" t="s">
        <v>38</v>
      </c>
      <c r="T101" s="14" t="s">
        <v>592</v>
      </c>
      <c r="U101" s="14"/>
      <c r="V101" s="14"/>
    </row>
    <row r="102" spans="1:22" ht="14.45" customHeight="1" x14ac:dyDescent="0.25">
      <c r="A102" s="14" t="s">
        <v>27</v>
      </c>
      <c r="B102" s="15" t="s">
        <v>1</v>
      </c>
      <c r="C102" s="14" t="s">
        <v>83</v>
      </c>
      <c r="D102" s="14" t="s">
        <v>346</v>
      </c>
      <c r="E102" s="14"/>
      <c r="F102" s="14" t="s">
        <v>186</v>
      </c>
      <c r="G102" s="14" t="str">
        <f t="shared" si="3"/>
        <v>MCPHF11_501P1_EMERGENCY_LIGHT_TOWER</v>
      </c>
      <c r="H102" s="14" t="s">
        <v>204</v>
      </c>
      <c r="I102" s="14" t="s">
        <v>258</v>
      </c>
      <c r="J102" s="14" t="s">
        <v>259</v>
      </c>
      <c r="K102" s="14" t="s">
        <v>259</v>
      </c>
      <c r="L102" s="14" t="s">
        <v>259</v>
      </c>
      <c r="M102" s="14" t="s">
        <v>30</v>
      </c>
      <c r="N102" s="14" t="s">
        <v>259</v>
      </c>
      <c r="O102" s="14" t="s">
        <v>259</v>
      </c>
      <c r="P102" s="14" t="s">
        <v>259</v>
      </c>
      <c r="Q102" s="14" t="s">
        <v>247</v>
      </c>
      <c r="R102" s="14" t="s">
        <v>257</v>
      </c>
      <c r="S102" s="14" t="s">
        <v>39</v>
      </c>
      <c r="T102" s="14" t="s">
        <v>593</v>
      </c>
      <c r="U102" s="14"/>
      <c r="V102" s="14"/>
    </row>
    <row r="103" spans="1:22" ht="14.45" customHeight="1" x14ac:dyDescent="0.25">
      <c r="A103" s="14" t="s">
        <v>27</v>
      </c>
      <c r="B103" s="15" t="s">
        <v>1</v>
      </c>
      <c r="C103" s="14" t="s">
        <v>83</v>
      </c>
      <c r="D103" s="14" t="s">
        <v>346</v>
      </c>
      <c r="E103" s="14"/>
      <c r="F103" s="14" t="s">
        <v>186</v>
      </c>
      <c r="G103" s="14" t="str">
        <f t="shared" si="3"/>
        <v>MCPHF11_501P1_BUZZER_TOWER</v>
      </c>
      <c r="H103" s="14" t="s">
        <v>205</v>
      </c>
      <c r="I103" s="14" t="s">
        <v>258</v>
      </c>
      <c r="J103" s="14" t="s">
        <v>259</v>
      </c>
      <c r="K103" s="14" t="s">
        <v>259</v>
      </c>
      <c r="L103" s="14" t="s">
        <v>259</v>
      </c>
      <c r="M103" s="14" t="s">
        <v>30</v>
      </c>
      <c r="N103" s="14" t="s">
        <v>259</v>
      </c>
      <c r="O103" s="14" t="s">
        <v>259</v>
      </c>
      <c r="P103" s="14" t="s">
        <v>259</v>
      </c>
      <c r="Q103" s="14" t="s">
        <v>247</v>
      </c>
      <c r="R103" s="14" t="s">
        <v>257</v>
      </c>
      <c r="S103" s="14" t="s">
        <v>40</v>
      </c>
      <c r="T103" s="14" t="s">
        <v>594</v>
      </c>
      <c r="U103" s="14"/>
      <c r="V103" s="14"/>
    </row>
    <row r="104" spans="1:22" ht="14.45" customHeight="1" x14ac:dyDescent="0.25">
      <c r="A104" s="14" t="s">
        <v>460</v>
      </c>
      <c r="B104" s="15" t="s">
        <v>1</v>
      </c>
      <c r="C104" s="15" t="s">
        <v>53</v>
      </c>
      <c r="D104" s="14" t="s">
        <v>369</v>
      </c>
      <c r="E104" s="14" t="s">
        <v>381</v>
      </c>
      <c r="F104" s="15" t="s">
        <v>145</v>
      </c>
      <c r="G104" s="14" t="str">
        <f t="shared" si="3"/>
        <v>HF11_EB002_100S1_ACTIVE_EMERGENCY_STOP</v>
      </c>
      <c r="H104" s="14" t="s">
        <v>197</v>
      </c>
      <c r="I104" s="14" t="s">
        <v>260</v>
      </c>
      <c r="J104" s="14" t="s">
        <v>259</v>
      </c>
      <c r="K104" s="14" t="s">
        <v>259</v>
      </c>
      <c r="L104" s="14" t="s">
        <v>259</v>
      </c>
      <c r="M104" s="14" t="s">
        <v>30</v>
      </c>
      <c r="N104" s="14" t="s">
        <v>259</v>
      </c>
      <c r="O104" s="14" t="s">
        <v>259</v>
      </c>
      <c r="P104" s="14" t="s">
        <v>259</v>
      </c>
      <c r="Q104" s="14" t="s">
        <v>247</v>
      </c>
      <c r="R104" s="14" t="s">
        <v>257</v>
      </c>
      <c r="S104" s="14" t="s">
        <v>41</v>
      </c>
      <c r="T104" s="14" t="s">
        <v>595</v>
      </c>
      <c r="U104" s="14"/>
      <c r="V104" s="14"/>
    </row>
    <row r="105" spans="1:22" ht="14.45" customHeight="1" x14ac:dyDescent="0.25">
      <c r="A105" s="14" t="s">
        <v>460</v>
      </c>
      <c r="B105" s="15" t="s">
        <v>1</v>
      </c>
      <c r="C105" s="15" t="s">
        <v>53</v>
      </c>
      <c r="D105" s="14" t="s">
        <v>370</v>
      </c>
      <c r="E105" s="14" t="s">
        <v>382</v>
      </c>
      <c r="F105" s="15" t="s">
        <v>155</v>
      </c>
      <c r="G105" s="14" t="str">
        <f t="shared" si="3"/>
        <v>HF11_EB004_100S1_ACTIVE_EMERGENCY_STOP</v>
      </c>
      <c r="H105" s="14" t="s">
        <v>197</v>
      </c>
      <c r="I105" s="14" t="s">
        <v>261</v>
      </c>
      <c r="J105" s="14" t="s">
        <v>259</v>
      </c>
      <c r="K105" s="14" t="s">
        <v>259</v>
      </c>
      <c r="L105" s="14" t="s">
        <v>259</v>
      </c>
      <c r="M105" s="14" t="s">
        <v>30</v>
      </c>
      <c r="N105" s="14" t="s">
        <v>259</v>
      </c>
      <c r="O105" s="14" t="s">
        <v>259</v>
      </c>
      <c r="P105" s="14" t="s">
        <v>259</v>
      </c>
      <c r="Q105" s="14" t="s">
        <v>247</v>
      </c>
      <c r="R105" s="14" t="s">
        <v>257</v>
      </c>
      <c r="S105" s="14" t="s">
        <v>43</v>
      </c>
      <c r="T105" s="14" t="s">
        <v>596</v>
      </c>
      <c r="U105" s="14"/>
      <c r="V105" s="14"/>
    </row>
    <row r="106" spans="1:22" ht="14.45" customHeight="1" x14ac:dyDescent="0.25">
      <c r="A106" s="14" t="s">
        <v>27</v>
      </c>
      <c r="B106" s="15" t="s">
        <v>1</v>
      </c>
      <c r="C106" s="14" t="s">
        <v>49</v>
      </c>
      <c r="D106" s="14" t="s">
        <v>373</v>
      </c>
      <c r="E106" s="14" t="s">
        <v>385</v>
      </c>
      <c r="F106" s="14" t="s">
        <v>187</v>
      </c>
      <c r="G106" s="14" t="str">
        <f t="shared" si="3"/>
        <v>HF11_BR002_100P1_ACTIVE_EMERGENCY_STOP</v>
      </c>
      <c r="H106" s="14" t="s">
        <v>197</v>
      </c>
      <c r="I106" s="14" t="s">
        <v>272</v>
      </c>
      <c r="J106" s="14" t="s">
        <v>259</v>
      </c>
      <c r="K106" s="14" t="s">
        <v>259</v>
      </c>
      <c r="L106" s="14" t="s">
        <v>259</v>
      </c>
      <c r="M106" s="14" t="s">
        <v>30</v>
      </c>
      <c r="N106" s="14" t="s">
        <v>259</v>
      </c>
      <c r="O106" s="14" t="s">
        <v>259</v>
      </c>
      <c r="P106" s="14" t="s">
        <v>259</v>
      </c>
      <c r="Q106" s="14" t="s">
        <v>247</v>
      </c>
      <c r="R106" s="14" t="s">
        <v>257</v>
      </c>
      <c r="S106" s="14" t="s">
        <v>44</v>
      </c>
      <c r="T106" s="14" t="s">
        <v>597</v>
      </c>
      <c r="U106" s="14"/>
      <c r="V106" s="14"/>
    </row>
    <row r="107" spans="1:22" ht="14.45" customHeight="1" x14ac:dyDescent="0.25">
      <c r="A107" s="14" t="s">
        <v>27</v>
      </c>
      <c r="B107" s="15" t="s">
        <v>1</v>
      </c>
      <c r="C107" s="14" t="s">
        <v>52</v>
      </c>
      <c r="D107" s="14" t="s">
        <v>373</v>
      </c>
      <c r="E107" s="14" t="s">
        <v>385</v>
      </c>
      <c r="F107" s="14" t="s">
        <v>188</v>
      </c>
      <c r="G107" s="14" t="str">
        <f t="shared" si="3"/>
        <v>HF11_BR002_100P2_FAULT</v>
      </c>
      <c r="H107" s="14" t="s">
        <v>194</v>
      </c>
      <c r="I107" s="14" t="s">
        <v>272</v>
      </c>
      <c r="J107" s="14" t="s">
        <v>259</v>
      </c>
      <c r="K107" s="14" t="s">
        <v>259</v>
      </c>
      <c r="L107" s="14" t="s">
        <v>259</v>
      </c>
      <c r="M107" s="14" t="s">
        <v>30</v>
      </c>
      <c r="N107" s="14" t="s">
        <v>259</v>
      </c>
      <c r="O107" s="14" t="s">
        <v>259</v>
      </c>
      <c r="P107" s="14" t="s">
        <v>259</v>
      </c>
      <c r="Q107" s="14" t="s">
        <v>247</v>
      </c>
      <c r="R107" s="14" t="s">
        <v>257</v>
      </c>
      <c r="S107" s="14" t="s">
        <v>45</v>
      </c>
      <c r="T107" s="14" t="s">
        <v>598</v>
      </c>
      <c r="U107" s="14"/>
      <c r="V107" s="14"/>
    </row>
    <row r="108" spans="1:22" ht="14.45" customHeight="1" x14ac:dyDescent="0.25">
      <c r="A108" s="14" t="s">
        <v>27</v>
      </c>
      <c r="B108" s="15" t="s">
        <v>1</v>
      </c>
      <c r="C108" s="14" t="s">
        <v>49</v>
      </c>
      <c r="D108" s="14" t="s">
        <v>374</v>
      </c>
      <c r="E108" s="14" t="s">
        <v>386</v>
      </c>
      <c r="F108" s="14" t="s">
        <v>189</v>
      </c>
      <c r="G108" s="14" t="str">
        <f t="shared" si="3"/>
        <v>HF11_BR004_100P1_ACTIVE_EMERGENCY_STOP</v>
      </c>
      <c r="H108" s="14" t="s">
        <v>197</v>
      </c>
      <c r="I108" s="14" t="s">
        <v>273</v>
      </c>
      <c r="J108" s="14" t="s">
        <v>259</v>
      </c>
      <c r="K108" s="14" t="s">
        <v>259</v>
      </c>
      <c r="L108" s="14" t="s">
        <v>259</v>
      </c>
      <c r="M108" s="14" t="s">
        <v>30</v>
      </c>
      <c r="N108" s="14" t="s">
        <v>259</v>
      </c>
      <c r="O108" s="14" t="s">
        <v>259</v>
      </c>
      <c r="P108" s="14" t="s">
        <v>259</v>
      </c>
      <c r="Q108" s="14" t="s">
        <v>247</v>
      </c>
      <c r="R108" s="14" t="s">
        <v>250</v>
      </c>
      <c r="S108" s="14" t="s">
        <v>30</v>
      </c>
      <c r="T108" s="14" t="s">
        <v>599</v>
      </c>
      <c r="U108" s="14"/>
      <c r="V108" s="14"/>
    </row>
    <row r="109" spans="1:22" ht="14.45" customHeight="1" x14ac:dyDescent="0.25">
      <c r="A109" s="14" t="s">
        <v>27</v>
      </c>
      <c r="B109" s="15" t="s">
        <v>1</v>
      </c>
      <c r="C109" s="14" t="s">
        <v>52</v>
      </c>
      <c r="D109" s="14" t="s">
        <v>374</v>
      </c>
      <c r="E109" s="14" t="s">
        <v>386</v>
      </c>
      <c r="F109" s="14" t="s">
        <v>190</v>
      </c>
      <c r="G109" s="14" t="str">
        <f t="shared" si="3"/>
        <v>HF11_BR004_100P2_FAULT</v>
      </c>
      <c r="H109" s="14" t="s">
        <v>194</v>
      </c>
      <c r="I109" s="14" t="s">
        <v>273</v>
      </c>
      <c r="J109" s="14" t="s">
        <v>259</v>
      </c>
      <c r="K109" s="14" t="s">
        <v>259</v>
      </c>
      <c r="L109" s="14" t="s">
        <v>259</v>
      </c>
      <c r="M109" s="14" t="s">
        <v>30</v>
      </c>
      <c r="N109" s="14" t="s">
        <v>259</v>
      </c>
      <c r="O109" s="14" t="s">
        <v>259</v>
      </c>
      <c r="P109" s="14" t="s">
        <v>259</v>
      </c>
      <c r="Q109" s="14" t="s">
        <v>247</v>
      </c>
      <c r="R109" s="14" t="s">
        <v>250</v>
      </c>
      <c r="S109" s="14" t="s">
        <v>31</v>
      </c>
      <c r="T109" s="14" t="s">
        <v>600</v>
      </c>
      <c r="U109" s="14"/>
      <c r="V109" s="14"/>
    </row>
    <row r="110" spans="1:22" ht="14.45" customHeight="1" x14ac:dyDescent="0.25">
      <c r="A110" s="14" t="s">
        <v>27</v>
      </c>
      <c r="B110" s="15" t="s">
        <v>1</v>
      </c>
      <c r="C110" s="14" t="s">
        <v>50</v>
      </c>
      <c r="D110" s="14" t="s">
        <v>375</v>
      </c>
      <c r="E110" s="14" t="s">
        <v>387</v>
      </c>
      <c r="F110" s="14" t="s">
        <v>169</v>
      </c>
      <c r="G110" s="14" t="str">
        <f t="shared" si="3"/>
        <v>HF11_OP601_100S2_OPENING</v>
      </c>
      <c r="H110" s="14" t="s">
        <v>195</v>
      </c>
      <c r="I110" s="14" t="s">
        <v>274</v>
      </c>
      <c r="J110" s="14" t="s">
        <v>259</v>
      </c>
      <c r="K110" s="14" t="s">
        <v>259</v>
      </c>
      <c r="L110" s="14" t="s">
        <v>259</v>
      </c>
      <c r="M110" s="14" t="s">
        <v>30</v>
      </c>
      <c r="N110" s="14" t="s">
        <v>259</v>
      </c>
      <c r="O110" s="14" t="s">
        <v>259</v>
      </c>
      <c r="P110" s="14" t="s">
        <v>259</v>
      </c>
      <c r="Q110" s="14" t="s">
        <v>247</v>
      </c>
      <c r="R110" s="14" t="s">
        <v>250</v>
      </c>
      <c r="S110" s="14" t="s">
        <v>42</v>
      </c>
      <c r="T110" s="14" t="s">
        <v>601</v>
      </c>
      <c r="U110" s="14"/>
      <c r="V110" s="14"/>
    </row>
    <row r="111" spans="1:22" ht="14.45" customHeight="1" x14ac:dyDescent="0.25">
      <c r="A111" s="14" t="s">
        <v>27</v>
      </c>
      <c r="B111" s="15" t="s">
        <v>1</v>
      </c>
      <c r="C111" s="14" t="s">
        <v>48</v>
      </c>
      <c r="D111" s="14" t="s">
        <v>375</v>
      </c>
      <c r="E111" s="14" t="s">
        <v>387</v>
      </c>
      <c r="F111" s="14" t="s">
        <v>85</v>
      </c>
      <c r="G111" s="14" t="str">
        <f t="shared" si="3"/>
        <v>HF11_OP601_100S3_CLOSURE</v>
      </c>
      <c r="H111" s="14" t="s">
        <v>193</v>
      </c>
      <c r="I111" s="14" t="s">
        <v>274</v>
      </c>
      <c r="J111" s="14" t="s">
        <v>259</v>
      </c>
      <c r="K111" s="14" t="s">
        <v>259</v>
      </c>
      <c r="L111" s="14" t="s">
        <v>259</v>
      </c>
      <c r="M111" s="14" t="s">
        <v>30</v>
      </c>
      <c r="N111" s="14" t="s">
        <v>259</v>
      </c>
      <c r="O111" s="14" t="s">
        <v>259</v>
      </c>
      <c r="P111" s="14" t="s">
        <v>259</v>
      </c>
      <c r="Q111" s="14" t="s">
        <v>247</v>
      </c>
      <c r="R111" s="14" t="s">
        <v>250</v>
      </c>
      <c r="S111" s="14" t="s">
        <v>32</v>
      </c>
      <c r="T111" s="14" t="s">
        <v>602</v>
      </c>
      <c r="U111" s="14"/>
      <c r="V111" s="14"/>
    </row>
    <row r="112" spans="1:22" ht="14.45" customHeight="1" x14ac:dyDescent="0.25">
      <c r="A112" s="14" t="s">
        <v>27</v>
      </c>
      <c r="B112" s="15" t="s">
        <v>1</v>
      </c>
      <c r="C112" s="14" t="s">
        <v>49</v>
      </c>
      <c r="D112" s="14" t="s">
        <v>375</v>
      </c>
      <c r="E112" s="14" t="s">
        <v>387</v>
      </c>
      <c r="F112" s="14" t="s">
        <v>86</v>
      </c>
      <c r="G112" s="14" t="str">
        <f t="shared" si="3"/>
        <v>HF11_OP601_100P1_FAULT</v>
      </c>
      <c r="H112" s="14" t="s">
        <v>194</v>
      </c>
      <c r="I112" s="14" t="s">
        <v>274</v>
      </c>
      <c r="J112" s="14" t="s">
        <v>259</v>
      </c>
      <c r="K112" s="14" t="s">
        <v>259</v>
      </c>
      <c r="L112" s="14" t="s">
        <v>259</v>
      </c>
      <c r="M112" s="14" t="s">
        <v>30</v>
      </c>
      <c r="N112" s="14" t="s">
        <v>259</v>
      </c>
      <c r="O112" s="14" t="s">
        <v>259</v>
      </c>
      <c r="P112" s="14" t="s">
        <v>259</v>
      </c>
      <c r="Q112" s="14" t="s">
        <v>247</v>
      </c>
      <c r="R112" s="14" t="s">
        <v>250</v>
      </c>
      <c r="S112" s="14" t="s">
        <v>33</v>
      </c>
      <c r="T112" s="14" t="s">
        <v>603</v>
      </c>
      <c r="U112" s="14"/>
      <c r="V112" s="14"/>
    </row>
    <row r="113" spans="1:22" ht="14.45" customHeight="1" x14ac:dyDescent="0.25">
      <c r="A113" s="14" t="s">
        <v>27</v>
      </c>
      <c r="B113" s="15" t="s">
        <v>1</v>
      </c>
      <c r="C113" s="14" t="s">
        <v>50</v>
      </c>
      <c r="D113" s="14" t="s">
        <v>376</v>
      </c>
      <c r="E113" s="14" t="s">
        <v>388</v>
      </c>
      <c r="F113" s="14" t="s">
        <v>87</v>
      </c>
      <c r="G113" s="14" t="str">
        <f t="shared" si="3"/>
        <v>HF11_OP602_100S2_OPENING</v>
      </c>
      <c r="H113" s="14" t="s">
        <v>195</v>
      </c>
      <c r="I113" s="14" t="s">
        <v>275</v>
      </c>
      <c r="J113" s="14" t="s">
        <v>259</v>
      </c>
      <c r="K113" s="14" t="s">
        <v>259</v>
      </c>
      <c r="L113" s="14" t="s">
        <v>259</v>
      </c>
      <c r="M113" s="14" t="s">
        <v>30</v>
      </c>
      <c r="N113" s="14" t="s">
        <v>259</v>
      </c>
      <c r="O113" s="14" t="s">
        <v>259</v>
      </c>
      <c r="P113" s="14" t="s">
        <v>259</v>
      </c>
      <c r="Q113" s="14" t="s">
        <v>247</v>
      </c>
      <c r="R113" s="14" t="s">
        <v>250</v>
      </c>
      <c r="S113" s="14" t="s">
        <v>34</v>
      </c>
      <c r="T113" s="14" t="s">
        <v>604</v>
      </c>
      <c r="U113" s="14"/>
      <c r="V113" s="14"/>
    </row>
    <row r="114" spans="1:22" ht="14.45" customHeight="1" x14ac:dyDescent="0.25">
      <c r="A114" s="14" t="s">
        <v>27</v>
      </c>
      <c r="B114" s="15" t="s">
        <v>1</v>
      </c>
      <c r="C114" s="14" t="s">
        <v>48</v>
      </c>
      <c r="D114" s="14" t="s">
        <v>376</v>
      </c>
      <c r="E114" s="14" t="s">
        <v>388</v>
      </c>
      <c r="F114" s="14" t="s">
        <v>88</v>
      </c>
      <c r="G114" s="14" t="str">
        <f t="shared" si="3"/>
        <v>HF11_OP602_100S3_CLOSURE</v>
      </c>
      <c r="H114" s="14" t="s">
        <v>193</v>
      </c>
      <c r="I114" s="14" t="s">
        <v>275</v>
      </c>
      <c r="J114" s="14" t="s">
        <v>259</v>
      </c>
      <c r="K114" s="14" t="s">
        <v>259</v>
      </c>
      <c r="L114" s="14" t="s">
        <v>259</v>
      </c>
      <c r="M114" s="14" t="s">
        <v>30</v>
      </c>
      <c r="N114" s="14" t="s">
        <v>259</v>
      </c>
      <c r="O114" s="14" t="s">
        <v>259</v>
      </c>
      <c r="P114" s="14" t="s">
        <v>259</v>
      </c>
      <c r="Q114" s="14" t="s">
        <v>247</v>
      </c>
      <c r="R114" s="14" t="s">
        <v>250</v>
      </c>
      <c r="S114" s="14" t="s">
        <v>35</v>
      </c>
      <c r="T114" s="14" t="s">
        <v>605</v>
      </c>
      <c r="U114" s="14"/>
      <c r="V114" s="14"/>
    </row>
    <row r="115" spans="1:22" ht="14.45" customHeight="1" x14ac:dyDescent="0.25">
      <c r="A115" s="14" t="s">
        <v>27</v>
      </c>
      <c r="B115" s="15" t="s">
        <v>1</v>
      </c>
      <c r="C115" s="14" t="s">
        <v>49</v>
      </c>
      <c r="D115" s="14" t="s">
        <v>376</v>
      </c>
      <c r="E115" s="14" t="s">
        <v>388</v>
      </c>
      <c r="F115" s="14" t="s">
        <v>89</v>
      </c>
      <c r="G115" s="14" t="str">
        <f t="shared" si="3"/>
        <v>HF11_OP602_100P1_FAULT</v>
      </c>
      <c r="H115" s="14" t="s">
        <v>194</v>
      </c>
      <c r="I115" s="14" t="s">
        <v>275</v>
      </c>
      <c r="J115" s="14" t="s">
        <v>259</v>
      </c>
      <c r="K115" s="14" t="s">
        <v>259</v>
      </c>
      <c r="L115" s="14" t="s">
        <v>259</v>
      </c>
      <c r="M115" s="14" t="s">
        <v>30</v>
      </c>
      <c r="N115" s="14" t="s">
        <v>259</v>
      </c>
      <c r="O115" s="14" t="s">
        <v>259</v>
      </c>
      <c r="P115" s="14" t="s">
        <v>259</v>
      </c>
      <c r="Q115" s="14" t="s">
        <v>247</v>
      </c>
      <c r="R115" s="14" t="s">
        <v>250</v>
      </c>
      <c r="S115" s="14" t="s">
        <v>36</v>
      </c>
      <c r="T115" s="14" t="s">
        <v>606</v>
      </c>
      <c r="U115" s="14"/>
      <c r="V115" s="14"/>
    </row>
    <row r="116" spans="1:22" ht="14.45" customHeight="1" x14ac:dyDescent="0.25">
      <c r="A116" s="14" t="s">
        <v>27</v>
      </c>
      <c r="B116" s="15" t="s">
        <v>1</v>
      </c>
      <c r="C116" s="14" t="s">
        <v>48</v>
      </c>
      <c r="D116" s="14" t="s">
        <v>372</v>
      </c>
      <c r="E116" s="14" t="s">
        <v>384</v>
      </c>
      <c r="F116" s="14" t="s">
        <v>90</v>
      </c>
      <c r="G116" s="14" t="str">
        <f t="shared" si="3"/>
        <v>HF11_MP301_100S3_INTRODUCTION</v>
      </c>
      <c r="H116" s="14" t="s">
        <v>196</v>
      </c>
      <c r="I116" s="14" t="s">
        <v>263</v>
      </c>
      <c r="J116" s="14" t="s">
        <v>259</v>
      </c>
      <c r="K116" s="14" t="s">
        <v>259</v>
      </c>
      <c r="L116" s="14" t="s">
        <v>259</v>
      </c>
      <c r="M116" s="14" t="s">
        <v>30</v>
      </c>
      <c r="N116" s="14" t="s">
        <v>259</v>
      </c>
      <c r="O116" s="14" t="s">
        <v>259</v>
      </c>
      <c r="P116" s="14" t="s">
        <v>259</v>
      </c>
      <c r="Q116" s="14" t="s">
        <v>247</v>
      </c>
      <c r="R116" s="14" t="s">
        <v>250</v>
      </c>
      <c r="S116" s="14" t="s">
        <v>37</v>
      </c>
      <c r="T116" s="14" t="s">
        <v>607</v>
      </c>
      <c r="U116" s="14"/>
      <c r="V116" s="14"/>
    </row>
    <row r="117" spans="1:22" ht="14.45" customHeight="1" x14ac:dyDescent="0.25">
      <c r="A117" s="14" t="s">
        <v>27</v>
      </c>
      <c r="B117" s="15" t="s">
        <v>1</v>
      </c>
      <c r="C117" s="14" t="s">
        <v>51</v>
      </c>
      <c r="D117" s="14" t="s">
        <v>372</v>
      </c>
      <c r="E117" s="14" t="s">
        <v>384</v>
      </c>
      <c r="F117" s="14" t="s">
        <v>91</v>
      </c>
      <c r="G117" s="14" t="str">
        <f t="shared" si="3"/>
        <v>HF11_MP301_101P1_ACTIVE_EMERGENCY_STOP</v>
      </c>
      <c r="H117" s="14" t="s">
        <v>197</v>
      </c>
      <c r="I117" s="14" t="s">
        <v>263</v>
      </c>
      <c r="J117" s="14" t="s">
        <v>259</v>
      </c>
      <c r="K117" s="14" t="s">
        <v>259</v>
      </c>
      <c r="L117" s="14" t="s">
        <v>259</v>
      </c>
      <c r="M117" s="14" t="s">
        <v>30</v>
      </c>
      <c r="N117" s="14" t="s">
        <v>259</v>
      </c>
      <c r="O117" s="14" t="s">
        <v>259</v>
      </c>
      <c r="P117" s="14" t="s">
        <v>259</v>
      </c>
      <c r="Q117" s="14" t="s">
        <v>247</v>
      </c>
      <c r="R117" s="14" t="s">
        <v>250</v>
      </c>
      <c r="S117" s="14" t="s">
        <v>38</v>
      </c>
      <c r="T117" s="14" t="s">
        <v>608</v>
      </c>
      <c r="U117" s="14"/>
      <c r="V117" s="14"/>
    </row>
    <row r="118" spans="1:22" ht="14.45" customHeight="1" x14ac:dyDescent="0.25">
      <c r="A118" s="14" t="s">
        <v>27</v>
      </c>
      <c r="B118" s="15" t="s">
        <v>1</v>
      </c>
      <c r="C118" s="14" t="s">
        <v>50</v>
      </c>
      <c r="D118" s="14" t="s">
        <v>371</v>
      </c>
      <c r="E118" s="14" t="s">
        <v>383</v>
      </c>
      <c r="F118" s="14" t="s">
        <v>92</v>
      </c>
      <c r="G118" s="14" t="str">
        <f t="shared" si="3"/>
        <v>HF11_MP201_100S2_IQ_TEST_EN_COURSE__PICK_UP</v>
      </c>
      <c r="H118" s="14" t="s">
        <v>198</v>
      </c>
      <c r="I118" s="14" t="s">
        <v>262</v>
      </c>
      <c r="J118" s="14" t="s">
        <v>259</v>
      </c>
      <c r="K118" s="14" t="s">
        <v>259</v>
      </c>
      <c r="L118" s="14" t="s">
        <v>259</v>
      </c>
      <c r="M118" s="14" t="s">
        <v>30</v>
      </c>
      <c r="N118" s="14" t="s">
        <v>259</v>
      </c>
      <c r="O118" s="14" t="s">
        <v>259</v>
      </c>
      <c r="P118" s="14" t="s">
        <v>259</v>
      </c>
      <c r="Q118" s="14" t="s">
        <v>247</v>
      </c>
      <c r="R118" s="14" t="s">
        <v>250</v>
      </c>
      <c r="S118" s="14" t="s">
        <v>39</v>
      </c>
      <c r="T118" s="14" t="s">
        <v>609</v>
      </c>
      <c r="U118" s="14"/>
      <c r="V118" s="14"/>
    </row>
    <row r="119" spans="1:22" ht="14.45" customHeight="1" x14ac:dyDescent="0.25">
      <c r="A119" s="14" t="s">
        <v>27</v>
      </c>
      <c r="B119" s="15" t="s">
        <v>1</v>
      </c>
      <c r="C119" s="14" t="s">
        <v>51</v>
      </c>
      <c r="D119" s="14" t="s">
        <v>371</v>
      </c>
      <c r="E119" s="14" t="s">
        <v>383</v>
      </c>
      <c r="F119" s="14" t="s">
        <v>93</v>
      </c>
      <c r="G119" s="14" t="str">
        <f t="shared" si="3"/>
        <v>HF11_MP201_101P1_ACTIVE_EMERGENCY_STOP</v>
      </c>
      <c r="H119" s="14" t="s">
        <v>197</v>
      </c>
      <c r="I119" s="14" t="s">
        <v>262</v>
      </c>
      <c r="J119" s="14" t="s">
        <v>259</v>
      </c>
      <c r="K119" s="14" t="s">
        <v>259</v>
      </c>
      <c r="L119" s="14" t="s">
        <v>259</v>
      </c>
      <c r="M119" s="14" t="s">
        <v>30</v>
      </c>
      <c r="N119" s="14" t="s">
        <v>259</v>
      </c>
      <c r="O119" s="14" t="s">
        <v>259</v>
      </c>
      <c r="P119" s="14" t="s">
        <v>259</v>
      </c>
      <c r="Q119" s="14" t="s">
        <v>247</v>
      </c>
      <c r="R119" s="14" t="s">
        <v>250</v>
      </c>
      <c r="S119" s="14" t="s">
        <v>40</v>
      </c>
      <c r="T119" s="14" t="s">
        <v>610</v>
      </c>
      <c r="U119" s="14"/>
      <c r="V119" s="14"/>
    </row>
    <row r="120" spans="1:22" ht="14.45" customHeight="1" x14ac:dyDescent="0.25">
      <c r="A120" s="14" t="s">
        <v>27</v>
      </c>
      <c r="B120" s="15" t="s">
        <v>1</v>
      </c>
      <c r="C120" s="14" t="s">
        <v>49</v>
      </c>
      <c r="D120" s="14" t="s">
        <v>377</v>
      </c>
      <c r="E120" s="14" t="s">
        <v>389</v>
      </c>
      <c r="F120" s="14" t="s">
        <v>94</v>
      </c>
      <c r="G120" s="14" t="str">
        <f t="shared" si="3"/>
        <v>HF11_OP801_100P1_OVERSIZE_RUNNING</v>
      </c>
      <c r="H120" s="14" t="s">
        <v>199</v>
      </c>
      <c r="I120" s="14" t="s">
        <v>276</v>
      </c>
      <c r="J120" s="14" t="s">
        <v>259</v>
      </c>
      <c r="K120" s="14" t="s">
        <v>259</v>
      </c>
      <c r="L120" s="14" t="s">
        <v>259</v>
      </c>
      <c r="M120" s="14" t="s">
        <v>30</v>
      </c>
      <c r="N120" s="14" t="s">
        <v>259</v>
      </c>
      <c r="O120" s="14" t="s">
        <v>259</v>
      </c>
      <c r="P120" s="14" t="s">
        <v>259</v>
      </c>
      <c r="Q120" s="14" t="s">
        <v>247</v>
      </c>
      <c r="R120" s="14" t="s">
        <v>250</v>
      </c>
      <c r="S120" s="14" t="s">
        <v>41</v>
      </c>
      <c r="T120" s="14" t="s">
        <v>611</v>
      </c>
      <c r="U120" s="14"/>
      <c r="V120" s="14"/>
    </row>
    <row r="121" spans="1:22" ht="14.45" customHeight="1" x14ac:dyDescent="0.25">
      <c r="A121" s="14" t="s">
        <v>27</v>
      </c>
      <c r="B121" s="15" t="s">
        <v>1</v>
      </c>
      <c r="C121" s="14" t="s">
        <v>52</v>
      </c>
      <c r="D121" s="14" t="s">
        <v>377</v>
      </c>
      <c r="E121" s="14" t="s">
        <v>389</v>
      </c>
      <c r="F121" s="14" t="s">
        <v>96</v>
      </c>
      <c r="G121" s="14" t="str">
        <f t="shared" si="3"/>
        <v>HF11_OP801_100P2_SATURATION</v>
      </c>
      <c r="H121" s="14" t="s">
        <v>200</v>
      </c>
      <c r="I121" s="14" t="s">
        <v>276</v>
      </c>
      <c r="J121" s="14" t="s">
        <v>259</v>
      </c>
      <c r="K121" s="14" t="s">
        <v>259</v>
      </c>
      <c r="L121" s="14" t="s">
        <v>259</v>
      </c>
      <c r="M121" s="14" t="s">
        <v>30</v>
      </c>
      <c r="N121" s="14" t="s">
        <v>259</v>
      </c>
      <c r="O121" s="14" t="s">
        <v>259</v>
      </c>
      <c r="P121" s="14" t="s">
        <v>259</v>
      </c>
      <c r="Q121" s="14" t="s">
        <v>247</v>
      </c>
      <c r="R121" s="14" t="s">
        <v>250</v>
      </c>
      <c r="S121" s="14" t="s">
        <v>43</v>
      </c>
      <c r="T121" s="14" t="s">
        <v>612</v>
      </c>
      <c r="U121" s="14"/>
      <c r="V121" s="14"/>
    </row>
    <row r="122" spans="1:22" ht="14.45" customHeight="1" x14ac:dyDescent="0.25">
      <c r="A122" s="14" t="s">
        <v>27</v>
      </c>
      <c r="B122" s="15" t="s">
        <v>1</v>
      </c>
      <c r="C122" s="14" t="s">
        <v>53</v>
      </c>
      <c r="D122" s="14" t="s">
        <v>377</v>
      </c>
      <c r="E122" s="14" t="s">
        <v>389</v>
      </c>
      <c r="F122" s="14" t="s">
        <v>97</v>
      </c>
      <c r="G122" s="14" t="str">
        <f t="shared" si="3"/>
        <v>HF11_OP801_100S1_SEND</v>
      </c>
      <c r="H122" s="14" t="s">
        <v>201</v>
      </c>
      <c r="I122" s="14" t="s">
        <v>276</v>
      </c>
      <c r="J122" s="14" t="s">
        <v>259</v>
      </c>
      <c r="K122" s="14" t="s">
        <v>259</v>
      </c>
      <c r="L122" s="14" t="s">
        <v>259</v>
      </c>
      <c r="M122" s="14" t="s">
        <v>30</v>
      </c>
      <c r="N122" s="14" t="s">
        <v>259</v>
      </c>
      <c r="O122" s="14" t="s">
        <v>259</v>
      </c>
      <c r="P122" s="14" t="s">
        <v>259</v>
      </c>
      <c r="Q122" s="14" t="s">
        <v>247</v>
      </c>
      <c r="R122" s="14" t="s">
        <v>250</v>
      </c>
      <c r="S122" s="14" t="s">
        <v>44</v>
      </c>
      <c r="T122" s="14" t="s">
        <v>613</v>
      </c>
      <c r="U122" s="14"/>
      <c r="V122" s="14"/>
    </row>
    <row r="123" spans="1:22" ht="14.45" customHeight="1" x14ac:dyDescent="0.25">
      <c r="A123" s="14" t="s">
        <v>27</v>
      </c>
      <c r="B123" s="15" t="s">
        <v>1</v>
      </c>
      <c r="C123" s="14" t="s">
        <v>406</v>
      </c>
      <c r="D123" s="14"/>
      <c r="E123" s="14" t="s">
        <v>259</v>
      </c>
      <c r="F123" s="14" t="s">
        <v>98</v>
      </c>
      <c r="G123" s="14" t="str">
        <f t="shared" si="3"/>
        <v>MCPHF11_500X1_12_SPARE</v>
      </c>
      <c r="H123" s="14" t="s">
        <v>192</v>
      </c>
      <c r="I123" s="14" t="s">
        <v>259</v>
      </c>
      <c r="J123" s="14" t="s">
        <v>259</v>
      </c>
      <c r="K123" s="14" t="s">
        <v>259</v>
      </c>
      <c r="L123" s="14" t="s">
        <v>259</v>
      </c>
      <c r="M123" s="14" t="s">
        <v>30</v>
      </c>
      <c r="N123" s="14" t="s">
        <v>259</v>
      </c>
      <c r="O123" s="14" t="s">
        <v>259</v>
      </c>
      <c r="P123" s="14" t="s">
        <v>259</v>
      </c>
      <c r="Q123" s="14" t="s">
        <v>247</v>
      </c>
      <c r="R123" s="14" t="s">
        <v>250</v>
      </c>
      <c r="S123" s="14" t="s">
        <v>45</v>
      </c>
      <c r="T123" s="14" t="s">
        <v>614</v>
      </c>
      <c r="U123" s="14"/>
      <c r="V123" s="14"/>
    </row>
    <row r="124" spans="1:22" ht="14.45" customHeight="1" x14ac:dyDescent="0.25">
      <c r="A124" s="14" t="s">
        <v>27</v>
      </c>
      <c r="B124" s="15" t="s">
        <v>1</v>
      </c>
      <c r="C124" s="14" t="s">
        <v>49</v>
      </c>
      <c r="D124" s="14" t="s">
        <v>379</v>
      </c>
      <c r="E124" s="14" t="s">
        <v>391</v>
      </c>
      <c r="F124" s="14" t="s">
        <v>99</v>
      </c>
      <c r="G124" s="14" t="str">
        <f t="shared" si="3"/>
        <v>HF11_LB001_100P1_RUNNING_LIGHT_TOWER</v>
      </c>
      <c r="H124" s="14" t="s">
        <v>202</v>
      </c>
      <c r="I124" s="14" t="s">
        <v>279</v>
      </c>
      <c r="J124" s="14" t="s">
        <v>259</v>
      </c>
      <c r="K124" s="14" t="s">
        <v>259</v>
      </c>
      <c r="L124" s="14" t="s">
        <v>259</v>
      </c>
      <c r="M124" s="14" t="s">
        <v>30</v>
      </c>
      <c r="N124" s="14" t="s">
        <v>259</v>
      </c>
      <c r="O124" s="14" t="s">
        <v>259</v>
      </c>
      <c r="P124" s="14" t="s">
        <v>259</v>
      </c>
      <c r="Q124" s="14" t="s">
        <v>247</v>
      </c>
      <c r="R124" s="14" t="s">
        <v>251</v>
      </c>
      <c r="S124" s="14" t="s">
        <v>30</v>
      </c>
      <c r="T124" s="14" t="s">
        <v>615</v>
      </c>
      <c r="U124" s="14"/>
      <c r="V124" s="14"/>
    </row>
    <row r="125" spans="1:22" ht="14.45" customHeight="1" x14ac:dyDescent="0.25">
      <c r="A125" s="14" t="s">
        <v>27</v>
      </c>
      <c r="B125" s="15" t="s">
        <v>1</v>
      </c>
      <c r="C125" s="14" t="s">
        <v>52</v>
      </c>
      <c r="D125" s="14" t="s">
        <v>379</v>
      </c>
      <c r="E125" s="14" t="s">
        <v>391</v>
      </c>
      <c r="F125" s="14" t="s">
        <v>100</v>
      </c>
      <c r="G125" s="14" t="str">
        <f t="shared" si="3"/>
        <v>HF11_LB001_100P2_FAULT_LIGHT_TOWER</v>
      </c>
      <c r="H125" s="14" t="s">
        <v>203</v>
      </c>
      <c r="I125" s="14" t="s">
        <v>279</v>
      </c>
      <c r="J125" s="14" t="s">
        <v>259</v>
      </c>
      <c r="K125" s="14" t="s">
        <v>259</v>
      </c>
      <c r="L125" s="14" t="s">
        <v>259</v>
      </c>
      <c r="M125" s="14" t="s">
        <v>30</v>
      </c>
      <c r="N125" s="14" t="s">
        <v>259</v>
      </c>
      <c r="O125" s="14" t="s">
        <v>259</v>
      </c>
      <c r="P125" s="14" t="s">
        <v>259</v>
      </c>
      <c r="Q125" s="14" t="s">
        <v>247</v>
      </c>
      <c r="R125" s="14" t="s">
        <v>251</v>
      </c>
      <c r="S125" s="14" t="s">
        <v>31</v>
      </c>
      <c r="T125" s="14" t="s">
        <v>616</v>
      </c>
      <c r="U125" s="14"/>
      <c r="V125" s="14"/>
    </row>
    <row r="126" spans="1:22" ht="14.45" customHeight="1" x14ac:dyDescent="0.25">
      <c r="A126" s="14" t="s">
        <v>27</v>
      </c>
      <c r="B126" s="15" t="s">
        <v>1</v>
      </c>
      <c r="C126" s="14" t="s">
        <v>54</v>
      </c>
      <c r="D126" s="14" t="s">
        <v>379</v>
      </c>
      <c r="E126" s="14" t="s">
        <v>391</v>
      </c>
      <c r="F126" s="14" t="s">
        <v>101</v>
      </c>
      <c r="G126" s="14" t="str">
        <f t="shared" si="3"/>
        <v>HF11_LB001_100P3_EMERGENCY_LIGHT_TOWER</v>
      </c>
      <c r="H126" s="14" t="s">
        <v>204</v>
      </c>
      <c r="I126" s="14" t="s">
        <v>279</v>
      </c>
      <c r="J126" s="14" t="s">
        <v>259</v>
      </c>
      <c r="K126" s="14" t="s">
        <v>259</v>
      </c>
      <c r="L126" s="14" t="s">
        <v>259</v>
      </c>
      <c r="M126" s="14" t="s">
        <v>30</v>
      </c>
      <c r="N126" s="14" t="s">
        <v>259</v>
      </c>
      <c r="O126" s="14" t="s">
        <v>259</v>
      </c>
      <c r="P126" s="14" t="s">
        <v>259</v>
      </c>
      <c r="Q126" s="14" t="s">
        <v>247</v>
      </c>
      <c r="R126" s="14" t="s">
        <v>251</v>
      </c>
      <c r="S126" s="14" t="s">
        <v>42</v>
      </c>
      <c r="T126" s="14" t="s">
        <v>617</v>
      </c>
      <c r="U126" s="14"/>
      <c r="V126" s="14"/>
    </row>
    <row r="127" spans="1:22" ht="14.45" customHeight="1" x14ac:dyDescent="0.25">
      <c r="A127" s="14" t="s">
        <v>27</v>
      </c>
      <c r="B127" s="15" t="s">
        <v>1</v>
      </c>
      <c r="C127" s="14" t="s">
        <v>55</v>
      </c>
      <c r="D127" s="14" t="s">
        <v>379</v>
      </c>
      <c r="E127" s="14" t="s">
        <v>391</v>
      </c>
      <c r="F127" s="14" t="s">
        <v>102</v>
      </c>
      <c r="G127" s="14" t="str">
        <f t="shared" si="3"/>
        <v>HF11_LB001_100P4_BUZZER_TOWER</v>
      </c>
      <c r="H127" s="14" t="s">
        <v>205</v>
      </c>
      <c r="I127" s="14" t="s">
        <v>279</v>
      </c>
      <c r="J127" s="14" t="s">
        <v>259</v>
      </c>
      <c r="K127" s="14" t="s">
        <v>259</v>
      </c>
      <c r="L127" s="14" t="s">
        <v>259</v>
      </c>
      <c r="M127" s="14" t="s">
        <v>30</v>
      </c>
      <c r="N127" s="14" t="s">
        <v>259</v>
      </c>
      <c r="O127" s="14" t="s">
        <v>259</v>
      </c>
      <c r="P127" s="14" t="s">
        <v>259</v>
      </c>
      <c r="Q127" s="14" t="s">
        <v>247</v>
      </c>
      <c r="R127" s="14" t="s">
        <v>251</v>
      </c>
      <c r="S127" s="14" t="s">
        <v>32</v>
      </c>
      <c r="T127" s="14" t="s">
        <v>618</v>
      </c>
      <c r="U127" s="14"/>
      <c r="V127" s="14"/>
    </row>
    <row r="128" spans="1:22" ht="14.45" customHeight="1" x14ac:dyDescent="0.25">
      <c r="A128" s="14" t="s">
        <v>27</v>
      </c>
      <c r="B128" s="15" t="s">
        <v>1</v>
      </c>
      <c r="C128" s="14" t="s">
        <v>49</v>
      </c>
      <c r="D128" s="14" t="s">
        <v>380</v>
      </c>
      <c r="E128" s="14" t="s">
        <v>392</v>
      </c>
      <c r="F128" s="14" t="s">
        <v>103</v>
      </c>
      <c r="G128" s="14" t="str">
        <f t="shared" si="3"/>
        <v>HF11_LB002_100P1_RUNNING_LIGHT_TOWER</v>
      </c>
      <c r="H128" s="14" t="s">
        <v>202</v>
      </c>
      <c r="I128" s="14" t="s">
        <v>280</v>
      </c>
      <c r="J128" s="14" t="s">
        <v>259</v>
      </c>
      <c r="K128" s="14" t="s">
        <v>259</v>
      </c>
      <c r="L128" s="14" t="s">
        <v>259</v>
      </c>
      <c r="M128" s="14" t="s">
        <v>30</v>
      </c>
      <c r="N128" s="14" t="s">
        <v>259</v>
      </c>
      <c r="O128" s="14" t="s">
        <v>259</v>
      </c>
      <c r="P128" s="14" t="s">
        <v>259</v>
      </c>
      <c r="Q128" s="14" t="s">
        <v>247</v>
      </c>
      <c r="R128" s="14" t="s">
        <v>251</v>
      </c>
      <c r="S128" s="14" t="s">
        <v>33</v>
      </c>
      <c r="T128" s="14" t="s">
        <v>619</v>
      </c>
      <c r="U128" s="14"/>
      <c r="V128" s="14"/>
    </row>
    <row r="129" spans="1:22" ht="14.45" customHeight="1" x14ac:dyDescent="0.25">
      <c r="A129" s="14" t="s">
        <v>27</v>
      </c>
      <c r="B129" s="15" t="s">
        <v>1</v>
      </c>
      <c r="C129" s="14" t="s">
        <v>52</v>
      </c>
      <c r="D129" s="14" t="s">
        <v>380</v>
      </c>
      <c r="E129" s="14" t="s">
        <v>392</v>
      </c>
      <c r="F129" s="14" t="s">
        <v>104</v>
      </c>
      <c r="G129" s="14" t="str">
        <f t="shared" si="3"/>
        <v>HF11_LB002_100P2_FAULT_LIGHT_TOWER</v>
      </c>
      <c r="H129" s="14" t="s">
        <v>203</v>
      </c>
      <c r="I129" s="14" t="s">
        <v>280</v>
      </c>
      <c r="J129" s="14" t="s">
        <v>259</v>
      </c>
      <c r="K129" s="14" t="s">
        <v>259</v>
      </c>
      <c r="L129" s="14" t="s">
        <v>259</v>
      </c>
      <c r="M129" s="14" t="s">
        <v>30</v>
      </c>
      <c r="N129" s="14" t="s">
        <v>259</v>
      </c>
      <c r="O129" s="14" t="s">
        <v>259</v>
      </c>
      <c r="P129" s="14" t="s">
        <v>259</v>
      </c>
      <c r="Q129" s="14" t="s">
        <v>247</v>
      </c>
      <c r="R129" s="14" t="s">
        <v>251</v>
      </c>
      <c r="S129" s="14" t="s">
        <v>34</v>
      </c>
      <c r="T129" s="14" t="s">
        <v>620</v>
      </c>
      <c r="U129" s="14"/>
      <c r="V129" s="14"/>
    </row>
    <row r="130" spans="1:22" ht="14.45" customHeight="1" x14ac:dyDescent="0.25">
      <c r="A130" s="14" t="s">
        <v>27</v>
      </c>
      <c r="B130" s="15" t="s">
        <v>1</v>
      </c>
      <c r="C130" s="14" t="s">
        <v>54</v>
      </c>
      <c r="D130" s="14" t="s">
        <v>380</v>
      </c>
      <c r="E130" s="14" t="s">
        <v>392</v>
      </c>
      <c r="F130" s="14" t="s">
        <v>105</v>
      </c>
      <c r="G130" s="14" t="str">
        <f t="shared" si="3"/>
        <v>HF11_LB002_100P3_EMERGENCY_LIGHT_TOWER</v>
      </c>
      <c r="H130" s="14" t="s">
        <v>204</v>
      </c>
      <c r="I130" s="14" t="s">
        <v>280</v>
      </c>
      <c r="J130" s="14" t="s">
        <v>259</v>
      </c>
      <c r="K130" s="14" t="s">
        <v>259</v>
      </c>
      <c r="L130" s="14" t="s">
        <v>259</v>
      </c>
      <c r="M130" s="14" t="s">
        <v>30</v>
      </c>
      <c r="N130" s="14" t="s">
        <v>259</v>
      </c>
      <c r="O130" s="14" t="s">
        <v>259</v>
      </c>
      <c r="P130" s="14" t="s">
        <v>259</v>
      </c>
      <c r="Q130" s="14" t="s">
        <v>247</v>
      </c>
      <c r="R130" s="14" t="s">
        <v>251</v>
      </c>
      <c r="S130" s="14" t="s">
        <v>35</v>
      </c>
      <c r="T130" s="14" t="s">
        <v>621</v>
      </c>
      <c r="U130" s="14"/>
      <c r="V130" s="14"/>
    </row>
    <row r="131" spans="1:22" ht="14.45" customHeight="1" x14ac:dyDescent="0.25">
      <c r="A131" s="14" t="s">
        <v>27</v>
      </c>
      <c r="B131" s="15" t="s">
        <v>1</v>
      </c>
      <c r="C131" s="14" t="s">
        <v>55</v>
      </c>
      <c r="D131" s="14" t="s">
        <v>380</v>
      </c>
      <c r="E131" s="14" t="s">
        <v>392</v>
      </c>
      <c r="F131" s="14" t="s">
        <v>106</v>
      </c>
      <c r="G131" s="14" t="str">
        <f t="shared" si="3"/>
        <v>HF11_LB002_100P4_BUZZER_TOWER</v>
      </c>
      <c r="H131" s="14" t="s">
        <v>205</v>
      </c>
      <c r="I131" s="14" t="s">
        <v>280</v>
      </c>
      <c r="J131" s="14" t="s">
        <v>259</v>
      </c>
      <c r="K131" s="14" t="s">
        <v>259</v>
      </c>
      <c r="L131" s="14" t="s">
        <v>259</v>
      </c>
      <c r="M131" s="14" t="s">
        <v>30</v>
      </c>
      <c r="N131" s="14" t="s">
        <v>259</v>
      </c>
      <c r="O131" s="14" t="s">
        <v>259</v>
      </c>
      <c r="P131" s="14" t="s">
        <v>259</v>
      </c>
      <c r="Q131" s="14" t="s">
        <v>247</v>
      </c>
      <c r="R131" s="14" t="s">
        <v>251</v>
      </c>
      <c r="S131" s="14" t="s">
        <v>36</v>
      </c>
      <c r="T131" s="14" t="s">
        <v>622</v>
      </c>
      <c r="U131" s="14"/>
      <c r="V131" s="14"/>
    </row>
    <row r="132" spans="1:22" ht="14.45" customHeight="1" x14ac:dyDescent="0.25">
      <c r="A132" s="14" t="s">
        <v>27</v>
      </c>
      <c r="B132" s="15" t="s">
        <v>1</v>
      </c>
      <c r="C132" s="14" t="s">
        <v>56</v>
      </c>
      <c r="D132" s="14" t="s">
        <v>346</v>
      </c>
      <c r="E132" s="14"/>
      <c r="F132" s="14" t="s">
        <v>107</v>
      </c>
      <c r="G132" s="14" t="str">
        <f t="shared" ref="G132:G163" si="4">SUBSTITUTE(SUBSTITUTE(SUBSTITUTE(SUBSTITUTE(SUBSTITUTE(SUBSTITUTE(SUBSTITUTE(SUBSTITUTE(SUBSTITUTE(SUBSTITUTE(SUBSTITUTE(SUBSTITUTE(SUBSTITUTE(SUBSTITUTE(SUBSTITUTE(SUBSTITUTE(IF(LEFT(F132,1)="=",RIGHT(F132,LEN(F132)-1),F132)&amp;"_"&amp;H132," - ","_"),"-","_")," ","_"),"+","_"),":","_"),".","_"),"NT23__",""),"__","_"),"__","_"),"__","_"),"__","_"),"AE00_",""),"AE01_",""),"&amp;_",""),",",""),"/","")</f>
        <v>MCPHF11_505K1_UP_ANTI_INTRUSION_DAMPER_HF11_SD007</v>
      </c>
      <c r="H132" s="14" t="s">
        <v>206</v>
      </c>
      <c r="I132" s="14" t="s">
        <v>258</v>
      </c>
      <c r="J132" s="14" t="s">
        <v>259</v>
      </c>
      <c r="K132" s="14" t="s">
        <v>259</v>
      </c>
      <c r="L132" s="14" t="s">
        <v>259</v>
      </c>
      <c r="M132" s="14" t="s">
        <v>30</v>
      </c>
      <c r="N132" s="14" t="s">
        <v>259</v>
      </c>
      <c r="O132" s="14" t="s">
        <v>259</v>
      </c>
      <c r="P132" s="14" t="s">
        <v>259</v>
      </c>
      <c r="Q132" s="14" t="s">
        <v>247</v>
      </c>
      <c r="R132" s="14" t="s">
        <v>251</v>
      </c>
      <c r="S132" s="14" t="s">
        <v>37</v>
      </c>
      <c r="T132" s="14" t="s">
        <v>623</v>
      </c>
      <c r="U132" s="14"/>
      <c r="V132" s="14"/>
    </row>
    <row r="133" spans="1:22" ht="14.45" customHeight="1" x14ac:dyDescent="0.25">
      <c r="A133" s="14" t="s">
        <v>27</v>
      </c>
      <c r="B133" s="15" t="s">
        <v>1</v>
      </c>
      <c r="C133" s="14" t="s">
        <v>57</v>
      </c>
      <c r="D133" s="14" t="s">
        <v>346</v>
      </c>
      <c r="E133" s="14"/>
      <c r="F133" s="14" t="s">
        <v>108</v>
      </c>
      <c r="G133" s="14" t="str">
        <f t="shared" si="4"/>
        <v>MCPHF11_505K2_DOWN_ANTI_INTRUSION_DAMPER_HF11_SD007</v>
      </c>
      <c r="H133" s="14" t="s">
        <v>207</v>
      </c>
      <c r="I133" s="14" t="s">
        <v>258</v>
      </c>
      <c r="J133" s="14" t="s">
        <v>259</v>
      </c>
      <c r="K133" s="14" t="s">
        <v>259</v>
      </c>
      <c r="L133" s="14" t="s">
        <v>259</v>
      </c>
      <c r="M133" s="14" t="s">
        <v>30</v>
      </c>
      <c r="N133" s="14" t="s">
        <v>259</v>
      </c>
      <c r="O133" s="14" t="s">
        <v>259</v>
      </c>
      <c r="P133" s="14" t="s">
        <v>259</v>
      </c>
      <c r="Q133" s="14" t="s">
        <v>247</v>
      </c>
      <c r="R133" s="14" t="s">
        <v>251</v>
      </c>
      <c r="S133" s="14" t="s">
        <v>38</v>
      </c>
      <c r="T133" s="14" t="s">
        <v>624</v>
      </c>
      <c r="U133" s="14"/>
      <c r="V133" s="14"/>
    </row>
    <row r="134" spans="1:22" ht="14.45" customHeight="1" x14ac:dyDescent="0.25">
      <c r="A134" s="14" t="s">
        <v>27</v>
      </c>
      <c r="B134" s="15" t="s">
        <v>1</v>
      </c>
      <c r="C134" s="14" t="s">
        <v>58</v>
      </c>
      <c r="D134" s="14" t="s">
        <v>346</v>
      </c>
      <c r="E134" s="14"/>
      <c r="F134" s="14" t="s">
        <v>109</v>
      </c>
      <c r="G134" s="14" t="str">
        <f t="shared" si="4"/>
        <v>MCPHF11_505K3_ANOMALY_ANTI_INTRUSION_DAMPER_HF11_SD007</v>
      </c>
      <c r="H134" s="14" t="s">
        <v>208</v>
      </c>
      <c r="I134" s="14" t="s">
        <v>258</v>
      </c>
      <c r="J134" s="14" t="s">
        <v>259</v>
      </c>
      <c r="K134" s="14" t="s">
        <v>259</v>
      </c>
      <c r="L134" s="14" t="s">
        <v>259</v>
      </c>
      <c r="M134" s="14" t="s">
        <v>30</v>
      </c>
      <c r="N134" s="14" t="s">
        <v>259</v>
      </c>
      <c r="O134" s="14" t="s">
        <v>259</v>
      </c>
      <c r="P134" s="14" t="s">
        <v>259</v>
      </c>
      <c r="Q134" s="14" t="s">
        <v>247</v>
      </c>
      <c r="R134" s="14" t="s">
        <v>251</v>
      </c>
      <c r="S134" s="14" t="s">
        <v>39</v>
      </c>
      <c r="T134" s="14" t="s">
        <v>625</v>
      </c>
      <c r="U134" s="14"/>
      <c r="V134" s="14"/>
    </row>
    <row r="135" spans="1:22" ht="14.45" customHeight="1" x14ac:dyDescent="0.25">
      <c r="A135" s="14" t="s">
        <v>27</v>
      </c>
      <c r="B135" s="15" t="s">
        <v>1</v>
      </c>
      <c r="C135" s="14" t="s">
        <v>59</v>
      </c>
      <c r="D135" s="14" t="s">
        <v>346</v>
      </c>
      <c r="E135" s="14"/>
      <c r="F135" s="14" t="s">
        <v>110</v>
      </c>
      <c r="G135" s="14" t="str">
        <f t="shared" si="4"/>
        <v>MCPHF11_505K4_UP_ANTI_INTRUSION_DAMPER_HF11_SD013</v>
      </c>
      <c r="H135" s="14" t="s">
        <v>209</v>
      </c>
      <c r="I135" s="14" t="s">
        <v>258</v>
      </c>
      <c r="J135" s="14" t="s">
        <v>259</v>
      </c>
      <c r="K135" s="14" t="s">
        <v>259</v>
      </c>
      <c r="L135" s="14" t="s">
        <v>259</v>
      </c>
      <c r="M135" s="14" t="s">
        <v>30</v>
      </c>
      <c r="N135" s="14" t="s">
        <v>259</v>
      </c>
      <c r="O135" s="14" t="s">
        <v>259</v>
      </c>
      <c r="P135" s="14" t="s">
        <v>259</v>
      </c>
      <c r="Q135" s="14" t="s">
        <v>247</v>
      </c>
      <c r="R135" s="14" t="s">
        <v>251</v>
      </c>
      <c r="S135" s="14" t="s">
        <v>40</v>
      </c>
      <c r="T135" s="14" t="s">
        <v>626</v>
      </c>
      <c r="U135" s="14"/>
      <c r="V135" s="14"/>
    </row>
    <row r="136" spans="1:22" ht="14.45" customHeight="1" x14ac:dyDescent="0.25">
      <c r="A136" s="14" t="s">
        <v>27</v>
      </c>
      <c r="B136" s="15" t="s">
        <v>1</v>
      </c>
      <c r="C136" s="14" t="s">
        <v>60</v>
      </c>
      <c r="D136" s="14" t="s">
        <v>346</v>
      </c>
      <c r="E136" s="14"/>
      <c r="F136" s="14" t="s">
        <v>111</v>
      </c>
      <c r="G136" s="14" t="str">
        <f t="shared" si="4"/>
        <v>MCPHF11_505K5_DOWN_ANTI_INTRUSION_DAMPER_HF11_SD013</v>
      </c>
      <c r="H136" s="14" t="s">
        <v>210</v>
      </c>
      <c r="I136" s="14" t="s">
        <v>258</v>
      </c>
      <c r="J136" s="14" t="s">
        <v>259</v>
      </c>
      <c r="K136" s="14" t="s">
        <v>259</v>
      </c>
      <c r="L136" s="14" t="s">
        <v>259</v>
      </c>
      <c r="M136" s="14" t="s">
        <v>30</v>
      </c>
      <c r="N136" s="14" t="s">
        <v>259</v>
      </c>
      <c r="O136" s="14" t="s">
        <v>259</v>
      </c>
      <c r="P136" s="14" t="s">
        <v>259</v>
      </c>
      <c r="Q136" s="14" t="s">
        <v>247</v>
      </c>
      <c r="R136" s="14" t="s">
        <v>251</v>
      </c>
      <c r="S136" s="14" t="s">
        <v>41</v>
      </c>
      <c r="T136" s="14" t="s">
        <v>627</v>
      </c>
      <c r="U136" s="14"/>
      <c r="V136" s="14"/>
    </row>
    <row r="137" spans="1:22" ht="14.45" customHeight="1" x14ac:dyDescent="0.25">
      <c r="A137" s="14" t="s">
        <v>27</v>
      </c>
      <c r="B137" s="15" t="s">
        <v>1</v>
      </c>
      <c r="C137" s="14" t="s">
        <v>61</v>
      </c>
      <c r="D137" s="14" t="s">
        <v>346</v>
      </c>
      <c r="E137" s="14"/>
      <c r="F137" s="14" t="s">
        <v>112</v>
      </c>
      <c r="G137" s="14" t="str">
        <f t="shared" si="4"/>
        <v>MCPHF11_505K6_ANOMALY_ANTI_INTRUSION_DAMPER_HF11_SD013</v>
      </c>
      <c r="H137" s="14" t="s">
        <v>211</v>
      </c>
      <c r="I137" s="14" t="s">
        <v>258</v>
      </c>
      <c r="J137" s="14" t="s">
        <v>259</v>
      </c>
      <c r="K137" s="14" t="s">
        <v>259</v>
      </c>
      <c r="L137" s="14" t="s">
        <v>259</v>
      </c>
      <c r="M137" s="14" t="s">
        <v>30</v>
      </c>
      <c r="N137" s="14" t="s">
        <v>259</v>
      </c>
      <c r="O137" s="14" t="s">
        <v>259</v>
      </c>
      <c r="P137" s="14" t="s">
        <v>259</v>
      </c>
      <c r="Q137" s="14" t="s">
        <v>247</v>
      </c>
      <c r="R137" s="14" t="s">
        <v>251</v>
      </c>
      <c r="S137" s="14" t="s">
        <v>43</v>
      </c>
      <c r="T137" s="14" t="s">
        <v>628</v>
      </c>
      <c r="U137" s="14"/>
      <c r="V137" s="14"/>
    </row>
    <row r="138" spans="1:22" ht="14.45" customHeight="1" x14ac:dyDescent="0.25">
      <c r="A138" s="14" t="s">
        <v>429</v>
      </c>
      <c r="B138" s="15" t="s">
        <v>1</v>
      </c>
      <c r="C138" s="15" t="s">
        <v>446</v>
      </c>
      <c r="D138" s="14" t="s">
        <v>451</v>
      </c>
      <c r="E138" s="14" t="s">
        <v>450</v>
      </c>
      <c r="F138" s="15" t="s">
        <v>447</v>
      </c>
      <c r="G138" s="14" t="str">
        <f t="shared" si="4"/>
        <v>HF11_EK001_100K1_SAFETY_DOOR_ACTUATOR_RESET</v>
      </c>
      <c r="H138" s="14" t="s">
        <v>455</v>
      </c>
      <c r="I138" s="15" t="s">
        <v>452</v>
      </c>
      <c r="J138" s="14" t="s">
        <v>259</v>
      </c>
      <c r="K138" s="14" t="s">
        <v>259</v>
      </c>
      <c r="L138" s="14" t="s">
        <v>259</v>
      </c>
      <c r="M138" s="14" t="s">
        <v>30</v>
      </c>
      <c r="N138" s="14" t="s">
        <v>259</v>
      </c>
      <c r="O138" s="14" t="s">
        <v>259</v>
      </c>
      <c r="P138" s="14" t="s">
        <v>259</v>
      </c>
      <c r="Q138" s="14" t="s">
        <v>247</v>
      </c>
      <c r="R138" s="14" t="s">
        <v>251</v>
      </c>
      <c r="S138" s="14" t="s">
        <v>44</v>
      </c>
      <c r="T138" s="14" t="s">
        <v>629</v>
      </c>
      <c r="U138" s="14"/>
      <c r="V138" s="14"/>
    </row>
    <row r="139" spans="1:22" ht="14.45" customHeight="1" x14ac:dyDescent="0.25">
      <c r="A139" s="14" t="s">
        <v>429</v>
      </c>
      <c r="B139" s="15" t="s">
        <v>1</v>
      </c>
      <c r="C139" s="14" t="s">
        <v>407</v>
      </c>
      <c r="D139" s="14"/>
      <c r="E139" s="14" t="s">
        <v>259</v>
      </c>
      <c r="F139" s="14" t="s">
        <v>113</v>
      </c>
      <c r="G139" s="14" t="str">
        <f t="shared" si="4"/>
        <v>MCPHF11_500X1_14_SPARE</v>
      </c>
      <c r="H139" s="14" t="s">
        <v>192</v>
      </c>
      <c r="I139" s="14" t="s">
        <v>259</v>
      </c>
      <c r="J139" s="14" t="s">
        <v>259</v>
      </c>
      <c r="K139" s="14" t="s">
        <v>259</v>
      </c>
      <c r="L139" s="14" t="s">
        <v>259</v>
      </c>
      <c r="M139" s="14" t="s">
        <v>30</v>
      </c>
      <c r="N139" s="14" t="s">
        <v>259</v>
      </c>
      <c r="O139" s="14" t="s">
        <v>259</v>
      </c>
      <c r="P139" s="14" t="s">
        <v>259</v>
      </c>
      <c r="Q139" s="14" t="s">
        <v>247</v>
      </c>
      <c r="R139" s="14" t="s">
        <v>251</v>
      </c>
      <c r="S139" s="14" t="s">
        <v>45</v>
      </c>
      <c r="T139" s="14" t="s">
        <v>630</v>
      </c>
      <c r="U139" s="14"/>
      <c r="V139" s="14"/>
    </row>
    <row r="140" spans="1:22" ht="14.45" customHeight="1" x14ac:dyDescent="0.25">
      <c r="A140" s="14" t="s">
        <v>429</v>
      </c>
      <c r="B140" s="15" t="s">
        <v>1</v>
      </c>
      <c r="C140" s="14" t="s">
        <v>408</v>
      </c>
      <c r="D140" s="14"/>
      <c r="E140" s="14" t="s">
        <v>259</v>
      </c>
      <c r="F140" s="14" t="s">
        <v>114</v>
      </c>
      <c r="G140" s="14" t="str">
        <f t="shared" si="4"/>
        <v>MCPHF11_500X1_16_SPARE</v>
      </c>
      <c r="H140" s="14" t="s">
        <v>192</v>
      </c>
      <c r="I140" s="14" t="s">
        <v>259</v>
      </c>
      <c r="J140" s="14" t="s">
        <v>259</v>
      </c>
      <c r="K140" s="14" t="s">
        <v>259</v>
      </c>
      <c r="L140" s="14" t="s">
        <v>259</v>
      </c>
      <c r="M140" s="14" t="s">
        <v>30</v>
      </c>
      <c r="N140" s="14" t="s">
        <v>259</v>
      </c>
      <c r="O140" s="14" t="s">
        <v>259</v>
      </c>
      <c r="P140" s="14" t="s">
        <v>259</v>
      </c>
      <c r="Q140" s="14" t="s">
        <v>247</v>
      </c>
      <c r="R140" s="14" t="s">
        <v>252</v>
      </c>
      <c r="S140" s="14" t="s">
        <v>30</v>
      </c>
      <c r="T140" s="14" t="s">
        <v>631</v>
      </c>
      <c r="U140" s="14"/>
      <c r="V140" s="14"/>
    </row>
    <row r="141" spans="1:22" ht="14.45" customHeight="1" x14ac:dyDescent="0.25">
      <c r="A141" s="14" t="s">
        <v>429</v>
      </c>
      <c r="B141" s="15" t="s">
        <v>1</v>
      </c>
      <c r="C141" s="14" t="s">
        <v>409</v>
      </c>
      <c r="D141" s="14"/>
      <c r="E141" s="14" t="s">
        <v>259</v>
      </c>
      <c r="F141" s="14" t="s">
        <v>115</v>
      </c>
      <c r="G141" s="14" t="str">
        <f t="shared" si="4"/>
        <v>MCPHF11_500X1_18_SPARE</v>
      </c>
      <c r="H141" s="14" t="s">
        <v>192</v>
      </c>
      <c r="I141" s="14" t="s">
        <v>259</v>
      </c>
      <c r="J141" s="14" t="s">
        <v>259</v>
      </c>
      <c r="K141" s="14" t="s">
        <v>259</v>
      </c>
      <c r="L141" s="14" t="s">
        <v>259</v>
      </c>
      <c r="M141" s="14" t="s">
        <v>30</v>
      </c>
      <c r="N141" s="14" t="s">
        <v>259</v>
      </c>
      <c r="O141" s="14" t="s">
        <v>259</v>
      </c>
      <c r="P141" s="14" t="s">
        <v>259</v>
      </c>
      <c r="Q141" s="14" t="s">
        <v>247</v>
      </c>
      <c r="R141" s="14" t="s">
        <v>252</v>
      </c>
      <c r="S141" s="14" t="s">
        <v>31</v>
      </c>
      <c r="T141" s="14" t="s">
        <v>632</v>
      </c>
      <c r="U141" s="14"/>
      <c r="V141" s="14"/>
    </row>
    <row r="142" spans="1:22" ht="14.45" customHeight="1" x14ac:dyDescent="0.25">
      <c r="A142" s="14" t="s">
        <v>429</v>
      </c>
      <c r="B142" s="15" t="s">
        <v>1</v>
      </c>
      <c r="C142" s="14" t="s">
        <v>410</v>
      </c>
      <c r="D142" s="14"/>
      <c r="E142" s="14" t="s">
        <v>259</v>
      </c>
      <c r="F142" s="14" t="s">
        <v>117</v>
      </c>
      <c r="G142" s="14" t="str">
        <f t="shared" si="4"/>
        <v>MCPHF11_500X1_20_SPARE</v>
      </c>
      <c r="H142" s="14" t="s">
        <v>192</v>
      </c>
      <c r="I142" s="14" t="s">
        <v>259</v>
      </c>
      <c r="J142" s="14" t="s">
        <v>259</v>
      </c>
      <c r="K142" s="14" t="s">
        <v>259</v>
      </c>
      <c r="L142" s="14" t="s">
        <v>259</v>
      </c>
      <c r="M142" s="14" t="s">
        <v>30</v>
      </c>
      <c r="N142" s="14" t="s">
        <v>259</v>
      </c>
      <c r="O142" s="14" t="s">
        <v>259</v>
      </c>
      <c r="P142" s="14" t="s">
        <v>259</v>
      </c>
      <c r="Q142" s="14" t="s">
        <v>247</v>
      </c>
      <c r="R142" s="14" t="s">
        <v>252</v>
      </c>
      <c r="S142" s="14" t="s">
        <v>42</v>
      </c>
      <c r="T142" s="14" t="s">
        <v>633</v>
      </c>
      <c r="U142" s="14"/>
      <c r="V142" s="14"/>
    </row>
    <row r="143" spans="1:22" ht="14.45" customHeight="1" x14ac:dyDescent="0.25">
      <c r="A143" s="14" t="s">
        <v>429</v>
      </c>
      <c r="B143" s="15" t="s">
        <v>1</v>
      </c>
      <c r="C143" s="14" t="s">
        <v>411</v>
      </c>
      <c r="D143" s="14"/>
      <c r="E143" s="14" t="s">
        <v>259</v>
      </c>
      <c r="F143" s="14" t="s">
        <v>118</v>
      </c>
      <c r="G143" s="14" t="str">
        <f t="shared" si="4"/>
        <v>MCPHF11_500X1_22_SPARE</v>
      </c>
      <c r="H143" s="14" t="s">
        <v>192</v>
      </c>
      <c r="I143" s="14" t="s">
        <v>259</v>
      </c>
      <c r="J143" s="14" t="s">
        <v>259</v>
      </c>
      <c r="K143" s="14" t="s">
        <v>259</v>
      </c>
      <c r="L143" s="14" t="s">
        <v>259</v>
      </c>
      <c r="M143" s="14" t="s">
        <v>30</v>
      </c>
      <c r="N143" s="14" t="s">
        <v>259</v>
      </c>
      <c r="O143" s="14" t="s">
        <v>259</v>
      </c>
      <c r="P143" s="14" t="s">
        <v>259</v>
      </c>
      <c r="Q143" s="14" t="s">
        <v>247</v>
      </c>
      <c r="R143" s="14" t="s">
        <v>252</v>
      </c>
      <c r="S143" s="14" t="s">
        <v>32</v>
      </c>
      <c r="T143" s="14" t="s">
        <v>634</v>
      </c>
      <c r="U143" s="14"/>
      <c r="V143" s="14"/>
    </row>
    <row r="144" spans="1:22" ht="14.45" customHeight="1" x14ac:dyDescent="0.25">
      <c r="A144" s="14" t="s">
        <v>429</v>
      </c>
      <c r="B144" s="15" t="s">
        <v>1</v>
      </c>
      <c r="C144" s="14" t="s">
        <v>412</v>
      </c>
      <c r="D144" s="14"/>
      <c r="E144" s="14" t="s">
        <v>259</v>
      </c>
      <c r="F144" s="14" t="s">
        <v>119</v>
      </c>
      <c r="G144" s="14" t="str">
        <f t="shared" si="4"/>
        <v>MCPHF11_500X1_24_SPARE</v>
      </c>
      <c r="H144" s="14" t="s">
        <v>192</v>
      </c>
      <c r="I144" s="14" t="s">
        <v>259</v>
      </c>
      <c r="J144" s="14" t="s">
        <v>259</v>
      </c>
      <c r="K144" s="14" t="s">
        <v>259</v>
      </c>
      <c r="L144" s="14" t="s">
        <v>259</v>
      </c>
      <c r="M144" s="14" t="s">
        <v>30</v>
      </c>
      <c r="N144" s="14" t="s">
        <v>259</v>
      </c>
      <c r="O144" s="14" t="s">
        <v>259</v>
      </c>
      <c r="P144" s="14" t="s">
        <v>259</v>
      </c>
      <c r="Q144" s="14" t="s">
        <v>247</v>
      </c>
      <c r="R144" s="14" t="s">
        <v>252</v>
      </c>
      <c r="S144" s="14" t="s">
        <v>33</v>
      </c>
      <c r="T144" s="14" t="s">
        <v>635</v>
      </c>
      <c r="U144" s="14"/>
      <c r="V144" s="14"/>
    </row>
    <row r="145" spans="1:22" ht="14.45" customHeight="1" x14ac:dyDescent="0.25">
      <c r="A145" s="14" t="s">
        <v>429</v>
      </c>
      <c r="B145" s="15" t="s">
        <v>1</v>
      </c>
      <c r="C145" s="14" t="s">
        <v>413</v>
      </c>
      <c r="D145" s="14"/>
      <c r="E145" s="14" t="s">
        <v>259</v>
      </c>
      <c r="F145" s="14" t="s">
        <v>120</v>
      </c>
      <c r="G145" s="14" t="str">
        <f t="shared" si="4"/>
        <v>MCPHF11_500X1_26_SPARE</v>
      </c>
      <c r="H145" s="14" t="s">
        <v>192</v>
      </c>
      <c r="I145" s="14" t="s">
        <v>259</v>
      </c>
      <c r="J145" s="14" t="s">
        <v>259</v>
      </c>
      <c r="K145" s="14" t="s">
        <v>259</v>
      </c>
      <c r="L145" s="14" t="s">
        <v>259</v>
      </c>
      <c r="M145" s="14" t="s">
        <v>30</v>
      </c>
      <c r="N145" s="14" t="s">
        <v>259</v>
      </c>
      <c r="O145" s="14" t="s">
        <v>259</v>
      </c>
      <c r="P145" s="14" t="s">
        <v>259</v>
      </c>
      <c r="Q145" s="14" t="s">
        <v>247</v>
      </c>
      <c r="R145" s="14" t="s">
        <v>252</v>
      </c>
      <c r="S145" s="14" t="s">
        <v>34</v>
      </c>
      <c r="T145" s="14" t="s">
        <v>636</v>
      </c>
      <c r="U145" s="14"/>
      <c r="V145" s="14"/>
    </row>
    <row r="146" spans="1:22" ht="14.45" customHeight="1" x14ac:dyDescent="0.25">
      <c r="A146" s="14" t="s">
        <v>429</v>
      </c>
      <c r="B146" s="15" t="s">
        <v>1</v>
      </c>
      <c r="C146" s="14" t="s">
        <v>414</v>
      </c>
      <c r="D146" s="14"/>
      <c r="E146" s="14" t="s">
        <v>259</v>
      </c>
      <c r="F146" s="14" t="s">
        <v>121</v>
      </c>
      <c r="G146" s="14" t="str">
        <f t="shared" si="4"/>
        <v>MCPHF11_500X1_28_SPARE</v>
      </c>
      <c r="H146" s="14" t="s">
        <v>192</v>
      </c>
      <c r="I146" s="14" t="s">
        <v>259</v>
      </c>
      <c r="J146" s="14" t="s">
        <v>259</v>
      </c>
      <c r="K146" s="14" t="s">
        <v>259</v>
      </c>
      <c r="L146" s="14" t="s">
        <v>259</v>
      </c>
      <c r="M146" s="14" t="s">
        <v>30</v>
      </c>
      <c r="N146" s="14" t="s">
        <v>259</v>
      </c>
      <c r="O146" s="14" t="s">
        <v>259</v>
      </c>
      <c r="P146" s="14" t="s">
        <v>259</v>
      </c>
      <c r="Q146" s="14" t="s">
        <v>247</v>
      </c>
      <c r="R146" s="14" t="s">
        <v>252</v>
      </c>
      <c r="S146" s="14" t="s">
        <v>35</v>
      </c>
      <c r="T146" s="14" t="s">
        <v>637</v>
      </c>
      <c r="U146" s="14"/>
      <c r="V146" s="14"/>
    </row>
    <row r="147" spans="1:22" ht="14.45" customHeight="1" x14ac:dyDescent="0.25">
      <c r="A147" s="14" t="s">
        <v>429</v>
      </c>
      <c r="B147" s="15" t="s">
        <v>1</v>
      </c>
      <c r="C147" s="14" t="s">
        <v>415</v>
      </c>
      <c r="D147" s="14"/>
      <c r="E147" s="14" t="s">
        <v>259</v>
      </c>
      <c r="F147" s="14" t="s">
        <v>122</v>
      </c>
      <c r="G147" s="14" t="str">
        <f t="shared" si="4"/>
        <v>MCPHF11_500X1_30_SPARE</v>
      </c>
      <c r="H147" s="14" t="s">
        <v>192</v>
      </c>
      <c r="I147" s="14" t="s">
        <v>259</v>
      </c>
      <c r="J147" s="14" t="s">
        <v>259</v>
      </c>
      <c r="K147" s="14" t="s">
        <v>259</v>
      </c>
      <c r="L147" s="14" t="s">
        <v>259</v>
      </c>
      <c r="M147" s="14" t="s">
        <v>30</v>
      </c>
      <c r="N147" s="14" t="s">
        <v>259</v>
      </c>
      <c r="O147" s="14" t="s">
        <v>259</v>
      </c>
      <c r="P147" s="14" t="s">
        <v>259</v>
      </c>
      <c r="Q147" s="14" t="s">
        <v>247</v>
      </c>
      <c r="R147" s="14" t="s">
        <v>252</v>
      </c>
      <c r="S147" s="14" t="s">
        <v>36</v>
      </c>
      <c r="T147" s="14" t="s">
        <v>638</v>
      </c>
      <c r="U147" s="14"/>
      <c r="V147" s="14"/>
    </row>
    <row r="148" spans="1:22" ht="14.45" customHeight="1" x14ac:dyDescent="0.25">
      <c r="A148" s="14" t="s">
        <v>429</v>
      </c>
      <c r="B148" s="15" t="s">
        <v>1</v>
      </c>
      <c r="C148" s="14" t="s">
        <v>416</v>
      </c>
      <c r="D148" s="14"/>
      <c r="E148" s="14" t="s">
        <v>259</v>
      </c>
      <c r="F148" s="14" t="s">
        <v>123</v>
      </c>
      <c r="G148" s="14" t="str">
        <f t="shared" si="4"/>
        <v>MCPHF11_500X1_32_SPARE</v>
      </c>
      <c r="H148" s="14" t="s">
        <v>192</v>
      </c>
      <c r="I148" s="14" t="s">
        <v>259</v>
      </c>
      <c r="J148" s="14" t="s">
        <v>259</v>
      </c>
      <c r="K148" s="14" t="s">
        <v>259</v>
      </c>
      <c r="L148" s="14" t="s">
        <v>259</v>
      </c>
      <c r="M148" s="14" t="s">
        <v>30</v>
      </c>
      <c r="N148" s="14" t="s">
        <v>259</v>
      </c>
      <c r="O148" s="14" t="s">
        <v>259</v>
      </c>
      <c r="P148" s="14" t="s">
        <v>259</v>
      </c>
      <c r="Q148" s="14" t="s">
        <v>247</v>
      </c>
      <c r="R148" s="14" t="s">
        <v>252</v>
      </c>
      <c r="S148" s="14" t="s">
        <v>37</v>
      </c>
      <c r="T148" s="14" t="s">
        <v>639</v>
      </c>
      <c r="U148" s="14"/>
      <c r="V148" s="14"/>
    </row>
    <row r="149" spans="1:22" ht="14.45" customHeight="1" x14ac:dyDescent="0.25">
      <c r="A149" s="14" t="s">
        <v>429</v>
      </c>
      <c r="B149" s="15" t="s">
        <v>1</v>
      </c>
      <c r="C149" s="14" t="s">
        <v>417</v>
      </c>
      <c r="D149" s="14"/>
      <c r="E149" s="14" t="s">
        <v>259</v>
      </c>
      <c r="F149" s="14" t="s">
        <v>124</v>
      </c>
      <c r="G149" s="14" t="str">
        <f t="shared" si="4"/>
        <v>MCPHF11_500X1_34_SPARE</v>
      </c>
      <c r="H149" s="14" t="s">
        <v>192</v>
      </c>
      <c r="I149" s="14" t="s">
        <v>259</v>
      </c>
      <c r="J149" s="14" t="s">
        <v>259</v>
      </c>
      <c r="K149" s="14" t="s">
        <v>259</v>
      </c>
      <c r="L149" s="14" t="s">
        <v>259</v>
      </c>
      <c r="M149" s="14" t="s">
        <v>30</v>
      </c>
      <c r="N149" s="14" t="s">
        <v>259</v>
      </c>
      <c r="O149" s="14" t="s">
        <v>259</v>
      </c>
      <c r="P149" s="14" t="s">
        <v>259</v>
      </c>
      <c r="Q149" s="14" t="s">
        <v>247</v>
      </c>
      <c r="R149" s="14" t="s">
        <v>252</v>
      </c>
      <c r="S149" s="14" t="s">
        <v>38</v>
      </c>
      <c r="T149" s="14" t="s">
        <v>640</v>
      </c>
      <c r="U149" s="14"/>
      <c r="V149" s="14"/>
    </row>
    <row r="150" spans="1:22" ht="14.45" customHeight="1" x14ac:dyDescent="0.25">
      <c r="A150" s="14" t="s">
        <v>429</v>
      </c>
      <c r="B150" s="15" t="s">
        <v>1</v>
      </c>
      <c r="C150" s="14" t="s">
        <v>418</v>
      </c>
      <c r="D150" s="14"/>
      <c r="E150" s="14" t="s">
        <v>259</v>
      </c>
      <c r="F150" s="14" t="s">
        <v>125</v>
      </c>
      <c r="G150" s="14" t="str">
        <f t="shared" si="4"/>
        <v>MCPHF11_500X1_36_SPARE</v>
      </c>
      <c r="H150" s="14" t="s">
        <v>192</v>
      </c>
      <c r="I150" s="14" t="s">
        <v>259</v>
      </c>
      <c r="J150" s="14" t="s">
        <v>259</v>
      </c>
      <c r="K150" s="14" t="s">
        <v>259</v>
      </c>
      <c r="L150" s="14" t="s">
        <v>259</v>
      </c>
      <c r="M150" s="14" t="s">
        <v>30</v>
      </c>
      <c r="N150" s="14" t="s">
        <v>259</v>
      </c>
      <c r="O150" s="14" t="s">
        <v>259</v>
      </c>
      <c r="P150" s="14" t="s">
        <v>259</v>
      </c>
      <c r="Q150" s="14" t="s">
        <v>247</v>
      </c>
      <c r="R150" s="14" t="s">
        <v>252</v>
      </c>
      <c r="S150" s="14" t="s">
        <v>39</v>
      </c>
      <c r="T150" s="14" t="s">
        <v>641</v>
      </c>
      <c r="U150" s="14"/>
      <c r="V150" s="14"/>
    </row>
    <row r="151" spans="1:22" ht="14.45" customHeight="1" x14ac:dyDescent="0.25">
      <c r="A151" s="14" t="s">
        <v>429</v>
      </c>
      <c r="B151" s="15" t="s">
        <v>1</v>
      </c>
      <c r="C151" s="14" t="s">
        <v>419</v>
      </c>
      <c r="D151" s="14"/>
      <c r="E151" s="14" t="s">
        <v>259</v>
      </c>
      <c r="F151" s="14" t="s">
        <v>126</v>
      </c>
      <c r="G151" s="14" t="str">
        <f t="shared" si="4"/>
        <v>MCPHF11_500X1_38_SPARE</v>
      </c>
      <c r="H151" s="14" t="s">
        <v>192</v>
      </c>
      <c r="I151" s="14" t="s">
        <v>259</v>
      </c>
      <c r="J151" s="14" t="s">
        <v>259</v>
      </c>
      <c r="K151" s="14" t="s">
        <v>259</v>
      </c>
      <c r="L151" s="14" t="s">
        <v>259</v>
      </c>
      <c r="M151" s="14" t="s">
        <v>30</v>
      </c>
      <c r="N151" s="14" t="s">
        <v>259</v>
      </c>
      <c r="O151" s="14" t="s">
        <v>259</v>
      </c>
      <c r="P151" s="14" t="s">
        <v>259</v>
      </c>
      <c r="Q151" s="14" t="s">
        <v>247</v>
      </c>
      <c r="R151" s="14" t="s">
        <v>252</v>
      </c>
      <c r="S151" s="14" t="s">
        <v>40</v>
      </c>
      <c r="T151" s="14" t="s">
        <v>642</v>
      </c>
      <c r="U151" s="14"/>
      <c r="V151" s="14"/>
    </row>
    <row r="152" spans="1:22" ht="14.45" customHeight="1" x14ac:dyDescent="0.25">
      <c r="A152" s="14" t="s">
        <v>429</v>
      </c>
      <c r="B152" s="15" t="s">
        <v>1</v>
      </c>
      <c r="C152" s="14" t="s">
        <v>420</v>
      </c>
      <c r="D152" s="14"/>
      <c r="E152" s="14" t="s">
        <v>259</v>
      </c>
      <c r="F152" s="14" t="s">
        <v>127</v>
      </c>
      <c r="G152" s="14" t="str">
        <f t="shared" si="4"/>
        <v>MCPHF11_500X1_40_SPARE</v>
      </c>
      <c r="H152" s="14" t="s">
        <v>192</v>
      </c>
      <c r="I152" s="14" t="s">
        <v>259</v>
      </c>
      <c r="J152" s="14" t="s">
        <v>259</v>
      </c>
      <c r="K152" s="14" t="s">
        <v>259</v>
      </c>
      <c r="L152" s="14" t="s">
        <v>259</v>
      </c>
      <c r="M152" s="14" t="s">
        <v>30</v>
      </c>
      <c r="N152" s="14" t="s">
        <v>259</v>
      </c>
      <c r="O152" s="14" t="s">
        <v>259</v>
      </c>
      <c r="P152" s="14" t="s">
        <v>259</v>
      </c>
      <c r="Q152" s="14" t="s">
        <v>247</v>
      </c>
      <c r="R152" s="14" t="s">
        <v>252</v>
      </c>
      <c r="S152" s="14" t="s">
        <v>41</v>
      </c>
      <c r="T152" s="14" t="s">
        <v>643</v>
      </c>
      <c r="U152" s="14"/>
      <c r="V152" s="14"/>
    </row>
    <row r="153" spans="1:22" ht="14.45" customHeight="1" x14ac:dyDescent="0.25">
      <c r="A153" s="14" t="s">
        <v>429</v>
      </c>
      <c r="B153" s="15" t="s">
        <v>1</v>
      </c>
      <c r="C153" s="14" t="s">
        <v>421</v>
      </c>
      <c r="D153" s="14"/>
      <c r="E153" s="14" t="s">
        <v>259</v>
      </c>
      <c r="F153" s="14" t="s">
        <v>128</v>
      </c>
      <c r="G153" s="14" t="str">
        <f t="shared" si="4"/>
        <v>MCPHF11_500X1_42_SPARE</v>
      </c>
      <c r="H153" s="14" t="s">
        <v>192</v>
      </c>
      <c r="I153" s="14" t="s">
        <v>259</v>
      </c>
      <c r="J153" s="14" t="s">
        <v>259</v>
      </c>
      <c r="K153" s="14" t="s">
        <v>259</v>
      </c>
      <c r="L153" s="14" t="s">
        <v>259</v>
      </c>
      <c r="M153" s="14" t="s">
        <v>30</v>
      </c>
      <c r="N153" s="14" t="s">
        <v>259</v>
      </c>
      <c r="O153" s="14" t="s">
        <v>259</v>
      </c>
      <c r="P153" s="14" t="s">
        <v>259</v>
      </c>
      <c r="Q153" s="14" t="s">
        <v>247</v>
      </c>
      <c r="R153" s="14" t="s">
        <v>252</v>
      </c>
      <c r="S153" s="14" t="s">
        <v>43</v>
      </c>
      <c r="T153" s="14" t="s">
        <v>644</v>
      </c>
      <c r="U153" s="14"/>
      <c r="V153" s="14"/>
    </row>
    <row r="154" spans="1:22" ht="14.45" customHeight="1" x14ac:dyDescent="0.25">
      <c r="A154" s="14" t="s">
        <v>429</v>
      </c>
      <c r="B154" s="15" t="s">
        <v>1</v>
      </c>
      <c r="C154" s="14" t="s">
        <v>422</v>
      </c>
      <c r="D154" s="14"/>
      <c r="E154" s="14" t="s">
        <v>259</v>
      </c>
      <c r="F154" s="14" t="s">
        <v>129</v>
      </c>
      <c r="G154" s="14" t="str">
        <f t="shared" si="4"/>
        <v>MCPHF11_500X1_44_SPARE</v>
      </c>
      <c r="H154" s="14" t="s">
        <v>192</v>
      </c>
      <c r="I154" s="14" t="s">
        <v>259</v>
      </c>
      <c r="J154" s="14" t="s">
        <v>259</v>
      </c>
      <c r="K154" s="14" t="s">
        <v>259</v>
      </c>
      <c r="L154" s="14" t="s">
        <v>259</v>
      </c>
      <c r="M154" s="14" t="s">
        <v>30</v>
      </c>
      <c r="N154" s="14" t="s">
        <v>259</v>
      </c>
      <c r="O154" s="14" t="s">
        <v>259</v>
      </c>
      <c r="P154" s="14" t="s">
        <v>259</v>
      </c>
      <c r="Q154" s="14" t="s">
        <v>247</v>
      </c>
      <c r="R154" s="14" t="s">
        <v>252</v>
      </c>
      <c r="S154" s="14" t="s">
        <v>44</v>
      </c>
      <c r="T154" s="14" t="s">
        <v>645</v>
      </c>
      <c r="U154" s="14"/>
      <c r="V154" s="14"/>
    </row>
    <row r="155" spans="1:22" ht="14.45" customHeight="1" x14ac:dyDescent="0.25">
      <c r="A155" s="14" t="s">
        <v>429</v>
      </c>
      <c r="B155" s="15" t="s">
        <v>1</v>
      </c>
      <c r="C155" s="14" t="s">
        <v>423</v>
      </c>
      <c r="D155" s="14"/>
      <c r="E155" s="14" t="s">
        <v>259</v>
      </c>
      <c r="F155" s="14" t="s">
        <v>130</v>
      </c>
      <c r="G155" s="14" t="str">
        <f t="shared" si="4"/>
        <v>MCPHF11_500X1_46_SPARE</v>
      </c>
      <c r="H155" s="14" t="s">
        <v>192</v>
      </c>
      <c r="I155" s="14" t="s">
        <v>259</v>
      </c>
      <c r="J155" s="14" t="s">
        <v>259</v>
      </c>
      <c r="K155" s="14" t="s">
        <v>259</v>
      </c>
      <c r="L155" s="14" t="s">
        <v>259</v>
      </c>
      <c r="M155" s="14" t="s">
        <v>30</v>
      </c>
      <c r="N155" s="14" t="s">
        <v>259</v>
      </c>
      <c r="O155" s="14" t="s">
        <v>259</v>
      </c>
      <c r="P155" s="14" t="s">
        <v>259</v>
      </c>
      <c r="Q155" s="14" t="s">
        <v>247</v>
      </c>
      <c r="R155" s="14" t="s">
        <v>252</v>
      </c>
      <c r="S155" s="14" t="s">
        <v>45</v>
      </c>
      <c r="T155" s="14" t="s">
        <v>646</v>
      </c>
      <c r="U155" s="14"/>
      <c r="V155" s="14"/>
    </row>
    <row r="156" spans="1:22" ht="14.45" customHeight="1" x14ac:dyDescent="0.25">
      <c r="A156" s="14" t="s">
        <v>460</v>
      </c>
      <c r="B156" s="15" t="s">
        <v>1</v>
      </c>
      <c r="C156" s="14"/>
      <c r="D156" s="14"/>
      <c r="E156" s="14" t="s">
        <v>456</v>
      </c>
      <c r="F156" s="15" t="s">
        <v>457</v>
      </c>
      <c r="G156" s="14" t="str">
        <f t="shared" si="4"/>
        <v>HF11_XR003_CD003_POWER_ON</v>
      </c>
      <c r="H156" s="14" t="s">
        <v>471</v>
      </c>
      <c r="I156" s="15" t="s">
        <v>459</v>
      </c>
      <c r="J156" s="14" t="s">
        <v>259</v>
      </c>
      <c r="K156" s="14" t="s">
        <v>259</v>
      </c>
      <c r="L156" s="14" t="s">
        <v>30</v>
      </c>
      <c r="M156" s="14" t="s">
        <v>259</v>
      </c>
      <c r="N156" s="14" t="s">
        <v>259</v>
      </c>
      <c r="O156" s="14" t="s">
        <v>259</v>
      </c>
      <c r="P156" s="14" t="s">
        <v>259</v>
      </c>
      <c r="Q156" s="14" t="s">
        <v>247</v>
      </c>
      <c r="R156" s="15" t="s">
        <v>470</v>
      </c>
      <c r="S156" s="14" t="s">
        <v>30</v>
      </c>
      <c r="T156" s="14" t="s">
        <v>647</v>
      </c>
      <c r="U156" s="14"/>
      <c r="V156" s="14"/>
    </row>
    <row r="157" spans="1:22" ht="14.45" customHeight="1" x14ac:dyDescent="0.25">
      <c r="A157" s="14" t="s">
        <v>460</v>
      </c>
      <c r="B157" s="15" t="s">
        <v>1</v>
      </c>
      <c r="C157" s="14"/>
      <c r="D157" s="14"/>
      <c r="E157" s="14" t="s">
        <v>456</v>
      </c>
      <c r="F157" s="15" t="s">
        <v>457</v>
      </c>
      <c r="G157" s="14" t="str">
        <f t="shared" si="4"/>
        <v>HF11_XR003_CD003_EMERGENCY_STOP_ACTIVE</v>
      </c>
      <c r="H157" s="14" t="s">
        <v>472</v>
      </c>
      <c r="I157" s="15" t="s">
        <v>459</v>
      </c>
      <c r="J157" s="14" t="s">
        <v>259</v>
      </c>
      <c r="K157" s="14" t="s">
        <v>259</v>
      </c>
      <c r="L157" s="14" t="s">
        <v>30</v>
      </c>
      <c r="M157" s="14" t="s">
        <v>259</v>
      </c>
      <c r="N157" s="14" t="s">
        <v>259</v>
      </c>
      <c r="O157" s="14" t="s">
        <v>259</v>
      </c>
      <c r="P157" s="14" t="s">
        <v>259</v>
      </c>
      <c r="Q157" s="14" t="s">
        <v>247</v>
      </c>
      <c r="R157" s="15" t="s">
        <v>470</v>
      </c>
      <c r="S157" s="14" t="s">
        <v>31</v>
      </c>
      <c r="T157" s="14" t="s">
        <v>648</v>
      </c>
      <c r="U157" s="14"/>
      <c r="V157" s="14"/>
    </row>
    <row r="158" spans="1:22" ht="14.45" customHeight="1" x14ac:dyDescent="0.25">
      <c r="A158" s="14" t="s">
        <v>460</v>
      </c>
      <c r="B158" s="15" t="s">
        <v>1</v>
      </c>
      <c r="C158" s="14"/>
      <c r="D158" s="14"/>
      <c r="E158" s="14" t="s">
        <v>456</v>
      </c>
      <c r="F158" s="15" t="s">
        <v>457</v>
      </c>
      <c r="G158" s="14" t="str">
        <f t="shared" si="4"/>
        <v>HF11_XR003_CD003_EMERGENCY_RESET_ON</v>
      </c>
      <c r="H158" s="14" t="s">
        <v>473</v>
      </c>
      <c r="I158" s="15" t="s">
        <v>459</v>
      </c>
      <c r="J158" s="14" t="s">
        <v>259</v>
      </c>
      <c r="K158" s="14" t="s">
        <v>259</v>
      </c>
      <c r="L158" s="14" t="s">
        <v>30</v>
      </c>
      <c r="M158" s="14" t="s">
        <v>259</v>
      </c>
      <c r="N158" s="14" t="s">
        <v>259</v>
      </c>
      <c r="O158" s="14" t="s">
        <v>259</v>
      </c>
      <c r="P158" s="14" t="s">
        <v>259</v>
      </c>
      <c r="Q158" s="14" t="s">
        <v>247</v>
      </c>
      <c r="R158" s="15" t="s">
        <v>470</v>
      </c>
      <c r="S158" s="14" t="s">
        <v>42</v>
      </c>
      <c r="T158" s="14" t="s">
        <v>649</v>
      </c>
      <c r="U158" s="14"/>
      <c r="V158" s="14"/>
    </row>
    <row r="159" spans="1:22" ht="14.45" customHeight="1" x14ac:dyDescent="0.25">
      <c r="A159" s="14" t="s">
        <v>460</v>
      </c>
      <c r="B159" s="15" t="s">
        <v>1</v>
      </c>
      <c r="C159" s="14"/>
      <c r="D159" s="14"/>
      <c r="E159" s="14" t="s">
        <v>456</v>
      </c>
      <c r="F159" s="15" t="s">
        <v>457</v>
      </c>
      <c r="G159" s="14" t="str">
        <f t="shared" si="4"/>
        <v>HF11_XR003_CD003_SERVICE_MODE</v>
      </c>
      <c r="H159" s="14" t="s">
        <v>474</v>
      </c>
      <c r="I159" s="15" t="s">
        <v>459</v>
      </c>
      <c r="J159" s="14" t="s">
        <v>259</v>
      </c>
      <c r="K159" s="14" t="s">
        <v>259</v>
      </c>
      <c r="L159" s="14" t="s">
        <v>30</v>
      </c>
      <c r="M159" s="14" t="s">
        <v>259</v>
      </c>
      <c r="N159" s="14" t="s">
        <v>259</v>
      </c>
      <c r="O159" s="14" t="s">
        <v>259</v>
      </c>
      <c r="P159" s="14" t="s">
        <v>259</v>
      </c>
      <c r="Q159" s="14" t="s">
        <v>247</v>
      </c>
      <c r="R159" s="15" t="s">
        <v>470</v>
      </c>
      <c r="S159" s="14" t="s">
        <v>32</v>
      </c>
      <c r="T159" s="14" t="s">
        <v>650</v>
      </c>
      <c r="U159" s="14"/>
      <c r="V159" s="14"/>
    </row>
    <row r="160" spans="1:22" ht="14.45" customHeight="1" x14ac:dyDescent="0.25">
      <c r="A160" s="14" t="s">
        <v>460</v>
      </c>
      <c r="B160" s="15" t="s">
        <v>1</v>
      </c>
      <c r="C160" s="15"/>
      <c r="D160" s="14"/>
      <c r="E160" s="14" t="s">
        <v>456</v>
      </c>
      <c r="F160" s="15" t="s">
        <v>457</v>
      </c>
      <c r="G160" s="14" t="str">
        <f t="shared" si="4"/>
        <v>HF11_XR003_CD003_TRANSIT_ACTIVE</v>
      </c>
      <c r="H160" s="14" t="s">
        <v>475</v>
      </c>
      <c r="I160" s="15" t="s">
        <v>459</v>
      </c>
      <c r="J160" s="14" t="s">
        <v>259</v>
      </c>
      <c r="K160" s="14" t="s">
        <v>259</v>
      </c>
      <c r="L160" s="14" t="s">
        <v>30</v>
      </c>
      <c r="M160" s="14" t="s">
        <v>259</v>
      </c>
      <c r="N160" s="14" t="s">
        <v>259</v>
      </c>
      <c r="O160" s="14" t="s">
        <v>259</v>
      </c>
      <c r="P160" s="14" t="s">
        <v>259</v>
      </c>
      <c r="Q160" s="14" t="s">
        <v>247</v>
      </c>
      <c r="R160" s="15" t="s">
        <v>470</v>
      </c>
      <c r="S160" s="14" t="s">
        <v>33</v>
      </c>
      <c r="T160" s="14" t="s">
        <v>651</v>
      </c>
      <c r="U160" s="14"/>
      <c r="V160" s="14"/>
    </row>
    <row r="161" spans="1:22" ht="14.45" customHeight="1" x14ac:dyDescent="0.25">
      <c r="A161" s="14" t="s">
        <v>460</v>
      </c>
      <c r="B161" s="15" t="s">
        <v>1</v>
      </c>
      <c r="C161" s="15"/>
      <c r="D161" s="14"/>
      <c r="E161" s="14" t="s">
        <v>456</v>
      </c>
      <c r="F161" s="15" t="s">
        <v>457</v>
      </c>
      <c r="G161" s="14" t="str">
        <f t="shared" si="4"/>
        <v>HF11_XR003_CD003_NO_SCAN_MODE</v>
      </c>
      <c r="H161" s="14" t="s">
        <v>476</v>
      </c>
      <c r="I161" s="15" t="s">
        <v>459</v>
      </c>
      <c r="J161" s="14" t="s">
        <v>259</v>
      </c>
      <c r="K161" s="14" t="s">
        <v>259</v>
      </c>
      <c r="L161" s="14" t="s">
        <v>30</v>
      </c>
      <c r="M161" s="14" t="s">
        <v>259</v>
      </c>
      <c r="N161" s="14" t="s">
        <v>259</v>
      </c>
      <c r="O161" s="14" t="s">
        <v>259</v>
      </c>
      <c r="P161" s="14" t="s">
        <v>259</v>
      </c>
      <c r="Q161" s="14" t="s">
        <v>247</v>
      </c>
      <c r="R161" s="15" t="s">
        <v>470</v>
      </c>
      <c r="S161" s="14" t="s">
        <v>34</v>
      </c>
      <c r="T161" s="14" t="s">
        <v>652</v>
      </c>
      <c r="U161" s="14"/>
      <c r="V161" s="14"/>
    </row>
    <row r="162" spans="1:22" ht="14.45" customHeight="1" x14ac:dyDescent="0.25">
      <c r="A162" s="14" t="s">
        <v>460</v>
      </c>
      <c r="B162" s="15" t="s">
        <v>1</v>
      </c>
      <c r="C162" s="15"/>
      <c r="D162" s="14"/>
      <c r="E162" s="14" t="s">
        <v>456</v>
      </c>
      <c r="F162" s="15" t="s">
        <v>457</v>
      </c>
      <c r="G162" s="14" t="str">
        <f t="shared" si="4"/>
        <v>HF11_XR003_CD003_XRAY_READY</v>
      </c>
      <c r="H162" s="14" t="s">
        <v>477</v>
      </c>
      <c r="I162" s="15" t="s">
        <v>459</v>
      </c>
      <c r="J162" s="14" t="s">
        <v>259</v>
      </c>
      <c r="K162" s="14" t="s">
        <v>259</v>
      </c>
      <c r="L162" s="14" t="s">
        <v>30</v>
      </c>
      <c r="M162" s="14" t="s">
        <v>259</v>
      </c>
      <c r="N162" s="14" t="s">
        <v>259</v>
      </c>
      <c r="O162" s="14" t="s">
        <v>259</v>
      </c>
      <c r="P162" s="14" t="s">
        <v>259</v>
      </c>
      <c r="Q162" s="14" t="s">
        <v>247</v>
      </c>
      <c r="R162" s="15" t="s">
        <v>470</v>
      </c>
      <c r="S162" s="14" t="s">
        <v>35</v>
      </c>
      <c r="T162" s="14" t="s">
        <v>653</v>
      </c>
      <c r="U162" s="14"/>
      <c r="V162" s="14"/>
    </row>
    <row r="163" spans="1:22" ht="14.45" customHeight="1" x14ac:dyDescent="0.25">
      <c r="A163" s="14" t="s">
        <v>460</v>
      </c>
      <c r="B163" s="15" t="s">
        <v>1</v>
      </c>
      <c r="C163" s="14"/>
      <c r="D163" s="14"/>
      <c r="E163" s="14" t="s">
        <v>456</v>
      </c>
      <c r="F163" s="15" t="s">
        <v>457</v>
      </c>
      <c r="G163" s="14" t="str">
        <f t="shared" si="4"/>
        <v>HF11_XR003_CD003_MACHINE_OK</v>
      </c>
      <c r="H163" s="14" t="s">
        <v>478</v>
      </c>
      <c r="I163" s="15" t="s">
        <v>459</v>
      </c>
      <c r="J163" s="14" t="s">
        <v>259</v>
      </c>
      <c r="K163" s="14" t="s">
        <v>259</v>
      </c>
      <c r="L163" s="14" t="s">
        <v>30</v>
      </c>
      <c r="M163" s="14" t="s">
        <v>259</v>
      </c>
      <c r="N163" s="14" t="s">
        <v>259</v>
      </c>
      <c r="O163" s="14" t="s">
        <v>259</v>
      </c>
      <c r="P163" s="14" t="s">
        <v>259</v>
      </c>
      <c r="Q163" s="14" t="s">
        <v>247</v>
      </c>
      <c r="R163" s="15" t="s">
        <v>470</v>
      </c>
      <c r="S163" s="14" t="s">
        <v>36</v>
      </c>
      <c r="T163" s="14" t="s">
        <v>654</v>
      </c>
      <c r="U163" s="14"/>
      <c r="V163" s="14"/>
    </row>
    <row r="164" spans="1:22" ht="14.45" customHeight="1" x14ac:dyDescent="0.25">
      <c r="A164" s="14" t="s">
        <v>460</v>
      </c>
      <c r="B164" s="15" t="s">
        <v>1</v>
      </c>
      <c r="C164" s="14"/>
      <c r="D164" s="14"/>
      <c r="E164" s="14" t="s">
        <v>456</v>
      </c>
      <c r="F164" s="15" t="s">
        <v>457</v>
      </c>
      <c r="G164" s="14" t="str">
        <f t="shared" ref="G164:G171" si="5">SUBSTITUTE(SUBSTITUTE(SUBSTITUTE(SUBSTITUTE(SUBSTITUTE(SUBSTITUTE(SUBSTITUTE(SUBSTITUTE(SUBSTITUTE(SUBSTITUTE(SUBSTITUTE(SUBSTITUTE(SUBSTITUTE(SUBSTITUTE(SUBSTITUTE(SUBSTITUTE(IF(LEFT(F164,1)="=",RIGHT(F164,LEN(F164)-1),F164)&amp;"_"&amp;H164," - ","_"),"-","_")," ","_"),"+","_"),":","_"),".","_"),"NT23__",""),"__","_"),"__","_"),"__","_"),"__","_"),"AE00_",""),"AE01_",""),"&amp;_",""),",",""),"/","")</f>
        <v>HF11_XR003_CD003_CODE_REQUEST</v>
      </c>
      <c r="H164" s="14" t="s">
        <v>479</v>
      </c>
      <c r="I164" s="15" t="s">
        <v>459</v>
      </c>
      <c r="J164" s="14" t="s">
        <v>259</v>
      </c>
      <c r="K164" s="14" t="s">
        <v>259</v>
      </c>
      <c r="L164" s="14" t="s">
        <v>30</v>
      </c>
      <c r="M164" s="14" t="s">
        <v>259</v>
      </c>
      <c r="N164" s="14" t="s">
        <v>259</v>
      </c>
      <c r="O164" s="14" t="s">
        <v>259</v>
      </c>
      <c r="P164" s="14" t="s">
        <v>259</v>
      </c>
      <c r="Q164" s="14" t="s">
        <v>247</v>
      </c>
      <c r="R164" s="15" t="s">
        <v>470</v>
      </c>
      <c r="S164" s="14" t="s">
        <v>37</v>
      </c>
      <c r="T164" s="14" t="s">
        <v>655</v>
      </c>
      <c r="U164" s="14"/>
      <c r="V164" s="14"/>
    </row>
    <row r="165" spans="1:22" ht="14.45" customHeight="1" x14ac:dyDescent="0.25">
      <c r="A165" s="14" t="s">
        <v>460</v>
      </c>
      <c r="B165" s="15" t="s">
        <v>1</v>
      </c>
      <c r="C165" s="14"/>
      <c r="D165" s="14"/>
      <c r="E165" s="14" t="s">
        <v>456</v>
      </c>
      <c r="F165" s="15" t="s">
        <v>457</v>
      </c>
      <c r="G165" s="14" t="str">
        <f t="shared" si="5"/>
        <v>HF11_XR003_CD003_ACCEPT</v>
      </c>
      <c r="H165" s="14" t="s">
        <v>480</v>
      </c>
      <c r="I165" s="15" t="s">
        <v>459</v>
      </c>
      <c r="J165" s="14" t="s">
        <v>259</v>
      </c>
      <c r="K165" s="14" t="s">
        <v>259</v>
      </c>
      <c r="L165" s="14" t="s">
        <v>30</v>
      </c>
      <c r="M165" s="14" t="s">
        <v>259</v>
      </c>
      <c r="N165" s="14" t="s">
        <v>259</v>
      </c>
      <c r="O165" s="14" t="s">
        <v>259</v>
      </c>
      <c r="P165" s="14" t="s">
        <v>259</v>
      </c>
      <c r="Q165" s="14" t="s">
        <v>247</v>
      </c>
      <c r="R165" s="15" t="s">
        <v>470</v>
      </c>
      <c r="S165" s="14" t="s">
        <v>38</v>
      </c>
      <c r="T165" s="14" t="s">
        <v>656</v>
      </c>
      <c r="U165" s="14"/>
      <c r="V165" s="14"/>
    </row>
    <row r="166" spans="1:22" ht="14.45" customHeight="1" x14ac:dyDescent="0.25">
      <c r="A166" s="14" t="s">
        <v>460</v>
      </c>
      <c r="B166" s="15" t="s">
        <v>1</v>
      </c>
      <c r="C166" s="14"/>
      <c r="D166" s="14"/>
      <c r="E166" s="14" t="s">
        <v>456</v>
      </c>
      <c r="F166" s="15" t="s">
        <v>457</v>
      </c>
      <c r="G166" s="14" t="str">
        <f t="shared" si="5"/>
        <v>HF11_XR003_CD003_REJECT</v>
      </c>
      <c r="H166" s="14" t="s">
        <v>481</v>
      </c>
      <c r="I166" s="15" t="s">
        <v>459</v>
      </c>
      <c r="J166" s="14" t="s">
        <v>259</v>
      </c>
      <c r="K166" s="14" t="s">
        <v>259</v>
      </c>
      <c r="L166" s="14" t="s">
        <v>30</v>
      </c>
      <c r="M166" s="14" t="s">
        <v>259</v>
      </c>
      <c r="N166" s="14" t="s">
        <v>259</v>
      </c>
      <c r="O166" s="14" t="s">
        <v>259</v>
      </c>
      <c r="P166" s="14" t="s">
        <v>259</v>
      </c>
      <c r="Q166" s="14" t="s">
        <v>247</v>
      </c>
      <c r="R166" s="15" t="s">
        <v>470</v>
      </c>
      <c r="S166" s="14" t="s">
        <v>39</v>
      </c>
      <c r="T166" s="14" t="s">
        <v>657</v>
      </c>
      <c r="U166" s="14"/>
      <c r="V166" s="14"/>
    </row>
    <row r="167" spans="1:22" ht="14.45" customHeight="1" x14ac:dyDescent="0.25">
      <c r="A167" s="14" t="s">
        <v>460</v>
      </c>
      <c r="B167" s="15" t="s">
        <v>1</v>
      </c>
      <c r="C167" s="14"/>
      <c r="D167" s="14"/>
      <c r="E167" s="14" t="s">
        <v>456</v>
      </c>
      <c r="F167" s="15" t="s">
        <v>457</v>
      </c>
      <c r="G167" s="14" t="str">
        <f t="shared" si="5"/>
        <v>HF11_XR003_CD003_SPEED_OK</v>
      </c>
      <c r="H167" s="14" t="s">
        <v>482</v>
      </c>
      <c r="I167" s="15" t="s">
        <v>459</v>
      </c>
      <c r="J167" s="14" t="s">
        <v>259</v>
      </c>
      <c r="K167" s="14" t="s">
        <v>259</v>
      </c>
      <c r="L167" s="14" t="s">
        <v>30</v>
      </c>
      <c r="M167" s="14" t="s">
        <v>259</v>
      </c>
      <c r="N167" s="14" t="s">
        <v>259</v>
      </c>
      <c r="O167" s="14" t="s">
        <v>259</v>
      </c>
      <c r="P167" s="14" t="s">
        <v>259</v>
      </c>
      <c r="Q167" s="14" t="s">
        <v>247</v>
      </c>
      <c r="R167" s="15" t="s">
        <v>470</v>
      </c>
      <c r="S167" s="14" t="s">
        <v>40</v>
      </c>
      <c r="T167" s="14" t="s">
        <v>658</v>
      </c>
      <c r="U167" s="14"/>
      <c r="V167" s="14"/>
    </row>
    <row r="168" spans="1:22" ht="14.45" customHeight="1" x14ac:dyDescent="0.25">
      <c r="A168" s="14" t="s">
        <v>460</v>
      </c>
      <c r="B168" s="15" t="s">
        <v>1</v>
      </c>
      <c r="C168" s="14"/>
      <c r="D168" s="14"/>
      <c r="E168" s="14" t="s">
        <v>259</v>
      </c>
      <c r="F168" s="14"/>
      <c r="G168" s="14" t="str">
        <f t="shared" si="5"/>
        <v>_SPARE</v>
      </c>
      <c r="H168" s="14" t="s">
        <v>192</v>
      </c>
      <c r="I168" s="14" t="s">
        <v>259</v>
      </c>
      <c r="J168" s="14" t="s">
        <v>259</v>
      </c>
      <c r="K168" s="14" t="s">
        <v>259</v>
      </c>
      <c r="L168" s="14" t="s">
        <v>30</v>
      </c>
      <c r="M168" s="14" t="s">
        <v>259</v>
      </c>
      <c r="N168" s="14" t="s">
        <v>259</v>
      </c>
      <c r="O168" s="14" t="s">
        <v>259</v>
      </c>
      <c r="P168" s="14" t="s">
        <v>259</v>
      </c>
      <c r="Q168" s="14" t="s">
        <v>247</v>
      </c>
      <c r="R168" s="15" t="s">
        <v>470</v>
      </c>
      <c r="S168" s="14" t="s">
        <v>41</v>
      </c>
      <c r="T168" s="14" t="s">
        <v>659</v>
      </c>
      <c r="U168" s="14"/>
      <c r="V168" s="14"/>
    </row>
    <row r="169" spans="1:22" ht="14.45" customHeight="1" x14ac:dyDescent="0.25">
      <c r="A169" s="14" t="s">
        <v>460</v>
      </c>
      <c r="B169" s="15" t="s">
        <v>1</v>
      </c>
      <c r="C169" s="14"/>
      <c r="D169" s="14"/>
      <c r="E169" s="14" t="s">
        <v>259</v>
      </c>
      <c r="F169" s="14"/>
      <c r="G169" s="14" t="str">
        <f t="shared" si="5"/>
        <v>_SPARE</v>
      </c>
      <c r="H169" s="14" t="s">
        <v>192</v>
      </c>
      <c r="I169" s="14" t="s">
        <v>259</v>
      </c>
      <c r="J169" s="14" t="s">
        <v>259</v>
      </c>
      <c r="K169" s="14" t="s">
        <v>259</v>
      </c>
      <c r="L169" s="14" t="s">
        <v>30</v>
      </c>
      <c r="M169" s="14" t="s">
        <v>259</v>
      </c>
      <c r="N169" s="14" t="s">
        <v>259</v>
      </c>
      <c r="O169" s="14" t="s">
        <v>259</v>
      </c>
      <c r="P169" s="14" t="s">
        <v>259</v>
      </c>
      <c r="Q169" s="14" t="s">
        <v>247</v>
      </c>
      <c r="R169" s="15" t="s">
        <v>470</v>
      </c>
      <c r="S169" s="14" t="s">
        <v>43</v>
      </c>
      <c r="T169" s="14" t="s">
        <v>660</v>
      </c>
      <c r="U169" s="14"/>
      <c r="V169" s="14"/>
    </row>
    <row r="170" spans="1:22" ht="14.45" customHeight="1" x14ac:dyDescent="0.25">
      <c r="A170" s="14" t="s">
        <v>460</v>
      </c>
      <c r="B170" s="15" t="s">
        <v>1</v>
      </c>
      <c r="C170" s="14"/>
      <c r="D170" s="14"/>
      <c r="E170" s="14" t="s">
        <v>259</v>
      </c>
      <c r="F170" s="14"/>
      <c r="G170" s="14" t="str">
        <f t="shared" si="5"/>
        <v>_SPARE</v>
      </c>
      <c r="H170" s="14" t="s">
        <v>192</v>
      </c>
      <c r="I170" s="14" t="s">
        <v>259</v>
      </c>
      <c r="J170" s="14" t="s">
        <v>259</v>
      </c>
      <c r="K170" s="14" t="s">
        <v>259</v>
      </c>
      <c r="L170" s="14" t="s">
        <v>30</v>
      </c>
      <c r="M170" s="14" t="s">
        <v>259</v>
      </c>
      <c r="N170" s="14" t="s">
        <v>259</v>
      </c>
      <c r="O170" s="14" t="s">
        <v>259</v>
      </c>
      <c r="P170" s="14" t="s">
        <v>259</v>
      </c>
      <c r="Q170" s="14" t="s">
        <v>247</v>
      </c>
      <c r="R170" s="15" t="s">
        <v>470</v>
      </c>
      <c r="S170" s="14" t="s">
        <v>44</v>
      </c>
      <c r="T170" s="14" t="s">
        <v>661</v>
      </c>
      <c r="U170" s="14"/>
      <c r="V170" s="14"/>
    </row>
    <row r="171" spans="1:22" ht="14.45" customHeight="1" thickBot="1" x14ac:dyDescent="0.3">
      <c r="A171" s="14" t="s">
        <v>460</v>
      </c>
      <c r="B171" s="15" t="s">
        <v>1</v>
      </c>
      <c r="C171" s="14"/>
      <c r="D171" s="14"/>
      <c r="E171" s="14" t="s">
        <v>259</v>
      </c>
      <c r="F171" s="14"/>
      <c r="G171" s="14" t="str">
        <f t="shared" si="5"/>
        <v>_SPARE</v>
      </c>
      <c r="H171" s="14" t="s">
        <v>192</v>
      </c>
      <c r="I171" s="14" t="s">
        <v>259</v>
      </c>
      <c r="J171" s="14" t="s">
        <v>259</v>
      </c>
      <c r="K171" s="14" t="s">
        <v>259</v>
      </c>
      <c r="L171" s="14" t="s">
        <v>30</v>
      </c>
      <c r="M171" s="14" t="s">
        <v>259</v>
      </c>
      <c r="N171" s="14" t="s">
        <v>259</v>
      </c>
      <c r="O171" s="14" t="s">
        <v>259</v>
      </c>
      <c r="P171" s="14" t="s">
        <v>259</v>
      </c>
      <c r="Q171" s="14" t="s">
        <v>247</v>
      </c>
      <c r="R171" s="15" t="s">
        <v>470</v>
      </c>
      <c r="S171" s="14" t="s">
        <v>45</v>
      </c>
      <c r="T171" s="14" t="s">
        <v>662</v>
      </c>
      <c r="U171" s="14"/>
      <c r="V171" s="14"/>
    </row>
    <row r="172" spans="1:22" ht="14.45" customHeight="1" x14ac:dyDescent="0.25">
      <c r="A172" s="31" t="s">
        <v>27</v>
      </c>
      <c r="B172" s="32" t="s">
        <v>1</v>
      </c>
      <c r="C172" s="33" t="s">
        <v>62</v>
      </c>
      <c r="D172" s="33"/>
      <c r="E172" s="33" t="s">
        <v>393</v>
      </c>
      <c r="F172" s="32" t="s">
        <v>131</v>
      </c>
      <c r="G172" s="33" t="str">
        <f t="shared" ref="G172:G215" si="6">SUBSTITUTE(SUBSTITUTE(SUBSTITUTE(SUBSTITUTE(SUBSTITUTE(SUBSTITUTE(SUBSTITUTE(SUBSTITUTE(SUBSTITUTE(SUBSTITUTE(SUBSTITUTE(SUBSTITUTE(SUBSTITUTE(SUBSTITUTE(SUBSTITUTE(SUBSTITUTE(IF(LEFT(F172,1)="=",RIGHT(F172,LEN(F172)-1),F172)&amp;"_"&amp;H172," - ","_"),"-","_")," ","_"),"+","_"),":","_"),".","_"),"NT23__",""),"__","_"),"__","_"),"__","_"),"__","_"),"AE00_",""),"AE01_",""),"&amp;_",""),",",""),"/","")</f>
        <v>HF11_ST005_T0001_SAFETY_SWITCH_POWER_SUPPLY_400V</v>
      </c>
      <c r="H172" s="33" t="s">
        <v>667</v>
      </c>
      <c r="I172" s="32" t="s">
        <v>281</v>
      </c>
      <c r="J172" s="33" t="s">
        <v>259</v>
      </c>
      <c r="K172" s="33" t="s">
        <v>259</v>
      </c>
      <c r="L172" s="33" t="s">
        <v>259</v>
      </c>
      <c r="M172" s="33" t="s">
        <v>259</v>
      </c>
      <c r="N172" s="33" t="s">
        <v>259</v>
      </c>
      <c r="O172" s="33" t="s">
        <v>259</v>
      </c>
      <c r="P172" s="33" t="s">
        <v>259</v>
      </c>
      <c r="Q172" s="33" t="s">
        <v>259</v>
      </c>
      <c r="R172" s="33" t="s">
        <v>62</v>
      </c>
      <c r="S172" s="33" t="s">
        <v>353</v>
      </c>
      <c r="T172" s="33" t="str">
        <f>_xlfn.CONCAT("I",(U172+9),".7")</f>
        <v>I1009.7</v>
      </c>
      <c r="U172" s="33">
        <v>1000</v>
      </c>
      <c r="V172" s="34"/>
    </row>
    <row r="173" spans="1:22" ht="14.45" customHeight="1" x14ac:dyDescent="0.25">
      <c r="A173" s="35" t="s">
        <v>27</v>
      </c>
      <c r="B173" s="15" t="s">
        <v>1</v>
      </c>
      <c r="C173" s="14" t="s">
        <v>62</v>
      </c>
      <c r="D173" s="14"/>
      <c r="E173" s="14" t="s">
        <v>393</v>
      </c>
      <c r="F173" s="15" t="s">
        <v>131</v>
      </c>
      <c r="G173" s="14" t="str">
        <f t="shared" si="6"/>
        <v>HF11_ST005_T0001_KEY_SWITCH_LOCAL_MODE</v>
      </c>
      <c r="H173" s="14" t="s">
        <v>213</v>
      </c>
      <c r="I173" s="15" t="s">
        <v>281</v>
      </c>
      <c r="J173" s="14" t="s">
        <v>259</v>
      </c>
      <c r="K173" s="14" t="s">
        <v>259</v>
      </c>
      <c r="L173" s="14" t="s">
        <v>259</v>
      </c>
      <c r="M173" s="14" t="s">
        <v>259</v>
      </c>
      <c r="N173" s="14" t="s">
        <v>259</v>
      </c>
      <c r="O173" s="14" t="s">
        <v>259</v>
      </c>
      <c r="P173" s="14" t="s">
        <v>259</v>
      </c>
      <c r="Q173" s="14" t="s">
        <v>259</v>
      </c>
      <c r="R173" s="14" t="s">
        <v>62</v>
      </c>
      <c r="S173" s="14" t="s">
        <v>354</v>
      </c>
      <c r="T173" s="14" t="str">
        <f>_xlfn.CONCAT("I",(U172+8),".0")</f>
        <v>I1008.0</v>
      </c>
      <c r="U173" s="14"/>
      <c r="V173" s="36"/>
    </row>
    <row r="174" spans="1:22" ht="14.45" customHeight="1" x14ac:dyDescent="0.25">
      <c r="A174" s="35" t="s">
        <v>27</v>
      </c>
      <c r="B174" s="15" t="s">
        <v>1</v>
      </c>
      <c r="C174" s="14"/>
      <c r="D174" s="14"/>
      <c r="E174" s="14" t="s">
        <v>259</v>
      </c>
      <c r="F174" s="14" t="s">
        <v>259</v>
      </c>
      <c r="G174" s="14" t="str">
        <f t="shared" si="6"/>
        <v>_SPARE</v>
      </c>
      <c r="H174" s="14" t="s">
        <v>192</v>
      </c>
      <c r="I174" s="14" t="s">
        <v>259</v>
      </c>
      <c r="J174" s="14" t="s">
        <v>259</v>
      </c>
      <c r="K174" s="14" t="s">
        <v>259</v>
      </c>
      <c r="L174" s="14" t="s">
        <v>259</v>
      </c>
      <c r="M174" s="14" t="s">
        <v>259</v>
      </c>
      <c r="N174" s="14" t="s">
        <v>259</v>
      </c>
      <c r="O174" s="14" t="s">
        <v>259</v>
      </c>
      <c r="P174" s="14" t="s">
        <v>259</v>
      </c>
      <c r="Q174" s="14" t="s">
        <v>259</v>
      </c>
      <c r="R174" s="14" t="s">
        <v>62</v>
      </c>
      <c r="S174" s="14" t="s">
        <v>355</v>
      </c>
      <c r="T174" s="14"/>
      <c r="U174" s="14"/>
      <c r="V174" s="36"/>
    </row>
    <row r="175" spans="1:22" ht="14.45" customHeight="1" x14ac:dyDescent="0.25">
      <c r="A175" s="35" t="s">
        <v>27</v>
      </c>
      <c r="B175" s="15" t="s">
        <v>1</v>
      </c>
      <c r="C175" s="15" t="s">
        <v>63</v>
      </c>
      <c r="D175" s="14" t="s">
        <v>364</v>
      </c>
      <c r="E175" s="14" t="s">
        <v>393</v>
      </c>
      <c r="F175" s="15" t="s">
        <v>132</v>
      </c>
      <c r="G175" s="14" t="str">
        <f t="shared" si="6"/>
        <v>HF11_ST005_B1101_STOP_HEAD_PHOTOCELL</v>
      </c>
      <c r="H175" s="14" t="s">
        <v>214</v>
      </c>
      <c r="I175" s="15" t="s">
        <v>281</v>
      </c>
      <c r="J175" s="14" t="s">
        <v>259</v>
      </c>
      <c r="K175" s="14" t="s">
        <v>259</v>
      </c>
      <c r="L175" s="14" t="s">
        <v>259</v>
      </c>
      <c r="M175" s="14" t="s">
        <v>259</v>
      </c>
      <c r="N175" s="14" t="s">
        <v>259</v>
      </c>
      <c r="O175" s="14" t="s">
        <v>259</v>
      </c>
      <c r="P175" s="14" t="s">
        <v>259</v>
      </c>
      <c r="Q175" s="14" t="s">
        <v>259</v>
      </c>
      <c r="R175" s="14" t="s">
        <v>62</v>
      </c>
      <c r="S175" s="14" t="s">
        <v>356</v>
      </c>
      <c r="T175" s="14" t="str">
        <f>_xlfn.CONCAT("I",(U172+9),".1")</f>
        <v>I1009.1</v>
      </c>
      <c r="U175" s="14"/>
      <c r="V175" s="36"/>
    </row>
    <row r="176" spans="1:22" ht="14.45" customHeight="1" x14ac:dyDescent="0.25">
      <c r="A176" s="35" t="s">
        <v>27</v>
      </c>
      <c r="B176" s="15" t="s">
        <v>1</v>
      </c>
      <c r="C176" s="14"/>
      <c r="D176" s="14"/>
      <c r="E176" s="14" t="s">
        <v>259</v>
      </c>
      <c r="F176" s="14" t="s">
        <v>259</v>
      </c>
      <c r="G176" s="14" t="str">
        <f t="shared" si="6"/>
        <v>_SPARE</v>
      </c>
      <c r="H176" s="14" t="s">
        <v>192</v>
      </c>
      <c r="I176" s="14" t="s">
        <v>259</v>
      </c>
      <c r="J176" s="14" t="s">
        <v>259</v>
      </c>
      <c r="K176" s="14" t="s">
        <v>259</v>
      </c>
      <c r="L176" s="14" t="s">
        <v>259</v>
      </c>
      <c r="M176" s="14" t="s">
        <v>259</v>
      </c>
      <c r="N176" s="14" t="s">
        <v>259</v>
      </c>
      <c r="O176" s="14" t="s">
        <v>259</v>
      </c>
      <c r="P176" s="14" t="s">
        <v>259</v>
      </c>
      <c r="Q176" s="14" t="s">
        <v>259</v>
      </c>
      <c r="R176" s="14" t="s">
        <v>62</v>
      </c>
      <c r="S176" s="14" t="s">
        <v>357</v>
      </c>
      <c r="T176" s="14"/>
      <c r="U176" s="14"/>
      <c r="V176" s="36"/>
    </row>
    <row r="177" spans="1:22" ht="14.45" customHeight="1" x14ac:dyDescent="0.25">
      <c r="A177" s="35" t="s">
        <v>27</v>
      </c>
      <c r="B177" s="15" t="s">
        <v>1</v>
      </c>
      <c r="C177" s="15" t="s">
        <v>64</v>
      </c>
      <c r="D177" s="14" t="s">
        <v>365</v>
      </c>
      <c r="E177" s="14" t="s">
        <v>393</v>
      </c>
      <c r="F177" s="15" t="s">
        <v>134</v>
      </c>
      <c r="G177" s="14" t="str">
        <f t="shared" si="6"/>
        <v>HF11_ST005_B1201_STOP_TAIL_PHOTOCELL</v>
      </c>
      <c r="H177" s="14" t="s">
        <v>215</v>
      </c>
      <c r="I177" s="15" t="s">
        <v>281</v>
      </c>
      <c r="J177" s="14" t="s">
        <v>259</v>
      </c>
      <c r="K177" s="14" t="s">
        <v>259</v>
      </c>
      <c r="L177" s="14" t="s">
        <v>259</v>
      </c>
      <c r="M177" s="14" t="s">
        <v>259</v>
      </c>
      <c r="N177" s="14" t="s">
        <v>259</v>
      </c>
      <c r="O177" s="14" t="s">
        <v>259</v>
      </c>
      <c r="P177" s="14" t="s">
        <v>259</v>
      </c>
      <c r="Q177" s="14" t="s">
        <v>259</v>
      </c>
      <c r="R177" s="14" t="s">
        <v>62</v>
      </c>
      <c r="S177" s="14" t="s">
        <v>358</v>
      </c>
      <c r="T177" s="14" t="s">
        <v>665</v>
      </c>
      <c r="U177" s="14"/>
      <c r="V177" s="36"/>
    </row>
    <row r="178" spans="1:22" ht="14.45" customHeight="1" x14ac:dyDescent="0.25">
      <c r="A178" s="35" t="s">
        <v>27</v>
      </c>
      <c r="B178" s="15" t="s">
        <v>1</v>
      </c>
      <c r="C178" s="14"/>
      <c r="D178" s="14"/>
      <c r="E178" s="14" t="s">
        <v>259</v>
      </c>
      <c r="F178" s="14" t="s">
        <v>259</v>
      </c>
      <c r="G178" s="14" t="str">
        <f t="shared" si="6"/>
        <v>_SPARE</v>
      </c>
      <c r="H178" s="14" t="s">
        <v>192</v>
      </c>
      <c r="I178" s="14" t="s">
        <v>259</v>
      </c>
      <c r="J178" s="14" t="s">
        <v>259</v>
      </c>
      <c r="K178" s="14" t="s">
        <v>259</v>
      </c>
      <c r="L178" s="14" t="s">
        <v>259</v>
      </c>
      <c r="M178" s="14" t="s">
        <v>259</v>
      </c>
      <c r="N178" s="14" t="s">
        <v>259</v>
      </c>
      <c r="O178" s="14" t="s">
        <v>259</v>
      </c>
      <c r="P178" s="14" t="s">
        <v>259</v>
      </c>
      <c r="Q178" s="14" t="s">
        <v>259</v>
      </c>
      <c r="R178" s="14" t="s">
        <v>62</v>
      </c>
      <c r="S178" s="14" t="s">
        <v>359</v>
      </c>
      <c r="T178" s="14"/>
      <c r="U178" s="14"/>
      <c r="V178" s="36"/>
    </row>
    <row r="179" spans="1:22" ht="14.45" customHeight="1" x14ac:dyDescent="0.25">
      <c r="A179" s="35" t="s">
        <v>27</v>
      </c>
      <c r="B179" s="15" t="s">
        <v>1</v>
      </c>
      <c r="C179" s="15"/>
      <c r="D179" s="14"/>
      <c r="E179" s="14" t="s">
        <v>259</v>
      </c>
      <c r="F179" s="15" t="s">
        <v>259</v>
      </c>
      <c r="G179" s="14" t="str">
        <f t="shared" si="6"/>
        <v>_SPARE</v>
      </c>
      <c r="H179" s="14" t="s">
        <v>192</v>
      </c>
      <c r="I179" s="14" t="s">
        <v>259</v>
      </c>
      <c r="J179" s="14" t="s">
        <v>259</v>
      </c>
      <c r="K179" s="14" t="s">
        <v>259</v>
      </c>
      <c r="L179" s="14" t="s">
        <v>259</v>
      </c>
      <c r="M179" s="14" t="s">
        <v>259</v>
      </c>
      <c r="N179" s="14" t="s">
        <v>259</v>
      </c>
      <c r="O179" s="14" t="s">
        <v>259</v>
      </c>
      <c r="P179" s="14" t="s">
        <v>259</v>
      </c>
      <c r="Q179" s="14" t="s">
        <v>259</v>
      </c>
      <c r="R179" s="14" t="s">
        <v>62</v>
      </c>
      <c r="S179" s="14" t="s">
        <v>360</v>
      </c>
      <c r="T179" s="14"/>
      <c r="U179" s="14"/>
      <c r="V179" s="36"/>
    </row>
    <row r="180" spans="1:22" ht="14.45" customHeight="1" x14ac:dyDescent="0.25">
      <c r="A180" s="35" t="s">
        <v>27</v>
      </c>
      <c r="B180" s="15" t="s">
        <v>1</v>
      </c>
      <c r="C180" s="14"/>
      <c r="D180" s="14"/>
      <c r="E180" s="14" t="s">
        <v>259</v>
      </c>
      <c r="F180" s="14" t="s">
        <v>259</v>
      </c>
      <c r="G180" s="14" t="str">
        <f t="shared" si="6"/>
        <v>_SPARE</v>
      </c>
      <c r="H180" s="14" t="s">
        <v>192</v>
      </c>
      <c r="I180" s="14" t="s">
        <v>259</v>
      </c>
      <c r="J180" s="14" t="s">
        <v>259</v>
      </c>
      <c r="K180" s="14" t="s">
        <v>259</v>
      </c>
      <c r="L180" s="14" t="s">
        <v>259</v>
      </c>
      <c r="M180" s="14" t="s">
        <v>259</v>
      </c>
      <c r="N180" s="14" t="s">
        <v>259</v>
      </c>
      <c r="O180" s="14" t="s">
        <v>259</v>
      </c>
      <c r="P180" s="14" t="s">
        <v>259</v>
      </c>
      <c r="Q180" s="14" t="s">
        <v>259</v>
      </c>
      <c r="R180" s="14" t="s">
        <v>62</v>
      </c>
      <c r="S180" s="14" t="s">
        <v>361</v>
      </c>
      <c r="T180" s="14"/>
      <c r="U180" s="14"/>
      <c r="V180" s="36"/>
    </row>
    <row r="181" spans="1:22" ht="14.45" customHeight="1" x14ac:dyDescent="0.25">
      <c r="A181" s="35" t="s">
        <v>27</v>
      </c>
      <c r="B181" s="15" t="s">
        <v>1</v>
      </c>
      <c r="C181" s="14"/>
      <c r="D181" s="14"/>
      <c r="E181" s="14" t="s">
        <v>259</v>
      </c>
      <c r="F181" s="14" t="s">
        <v>259</v>
      </c>
      <c r="G181" s="14" t="str">
        <f t="shared" si="6"/>
        <v>_SPARE</v>
      </c>
      <c r="H181" s="14" t="s">
        <v>192</v>
      </c>
      <c r="I181" s="14" t="s">
        <v>259</v>
      </c>
      <c r="J181" s="14" t="s">
        <v>259</v>
      </c>
      <c r="K181" s="14" t="s">
        <v>259</v>
      </c>
      <c r="L181" s="14" t="s">
        <v>259</v>
      </c>
      <c r="M181" s="14" t="s">
        <v>259</v>
      </c>
      <c r="N181" s="14" t="s">
        <v>259</v>
      </c>
      <c r="O181" s="14" t="s">
        <v>259</v>
      </c>
      <c r="P181" s="14" t="s">
        <v>259</v>
      </c>
      <c r="Q181" s="14" t="s">
        <v>259</v>
      </c>
      <c r="R181" s="14" t="s">
        <v>62</v>
      </c>
      <c r="S181" s="14" t="s">
        <v>362</v>
      </c>
      <c r="T181" s="14"/>
      <c r="U181" s="14"/>
      <c r="V181" s="36"/>
    </row>
    <row r="182" spans="1:22" ht="14.45" customHeight="1" thickBot="1" x14ac:dyDescent="0.3">
      <c r="A182" s="37" t="s">
        <v>27</v>
      </c>
      <c r="B182" s="38" t="s">
        <v>1</v>
      </c>
      <c r="C182" s="39"/>
      <c r="D182" s="39"/>
      <c r="E182" s="39" t="s">
        <v>259</v>
      </c>
      <c r="F182" s="39" t="s">
        <v>259</v>
      </c>
      <c r="G182" s="39" t="str">
        <f t="shared" si="6"/>
        <v>_SPARE</v>
      </c>
      <c r="H182" s="39" t="s">
        <v>192</v>
      </c>
      <c r="I182" s="39" t="s">
        <v>259</v>
      </c>
      <c r="J182" s="39" t="s">
        <v>259</v>
      </c>
      <c r="K182" s="39" t="s">
        <v>259</v>
      </c>
      <c r="L182" s="39" t="s">
        <v>259</v>
      </c>
      <c r="M182" s="39" t="s">
        <v>259</v>
      </c>
      <c r="N182" s="39" t="s">
        <v>259</v>
      </c>
      <c r="O182" s="39" t="s">
        <v>259</v>
      </c>
      <c r="P182" s="39" t="s">
        <v>259</v>
      </c>
      <c r="Q182" s="39" t="s">
        <v>259</v>
      </c>
      <c r="R182" s="39" t="s">
        <v>62</v>
      </c>
      <c r="S182" s="39" t="s">
        <v>363</v>
      </c>
      <c r="T182" s="39"/>
      <c r="U182" s="39"/>
      <c r="V182" s="40"/>
    </row>
    <row r="183" spans="1:22" ht="14.45" customHeight="1" x14ac:dyDescent="0.25">
      <c r="A183" s="31" t="s">
        <v>27</v>
      </c>
      <c r="B183" s="32" t="s">
        <v>1</v>
      </c>
      <c r="C183" s="33" t="s">
        <v>62</v>
      </c>
      <c r="D183" s="33"/>
      <c r="E183" s="33" t="s">
        <v>394</v>
      </c>
      <c r="F183" s="32" t="s">
        <v>135</v>
      </c>
      <c r="G183" s="33" t="str">
        <f t="shared" si="6"/>
        <v>HF11_ST009_T0001_SAFETY_SWITCH_POWER_SUPPLY_400V</v>
      </c>
      <c r="H183" s="33" t="s">
        <v>667</v>
      </c>
      <c r="I183" s="32" t="s">
        <v>282</v>
      </c>
      <c r="J183" s="33" t="s">
        <v>259</v>
      </c>
      <c r="K183" s="33" t="s">
        <v>259</v>
      </c>
      <c r="L183" s="33" t="s">
        <v>259</v>
      </c>
      <c r="M183" s="33" t="s">
        <v>259</v>
      </c>
      <c r="N183" s="33" t="s">
        <v>259</v>
      </c>
      <c r="O183" s="33" t="s">
        <v>259</v>
      </c>
      <c r="P183" s="33" t="s">
        <v>259</v>
      </c>
      <c r="Q183" s="33" t="s">
        <v>259</v>
      </c>
      <c r="R183" s="33" t="s">
        <v>62</v>
      </c>
      <c r="S183" s="33" t="s">
        <v>353</v>
      </c>
      <c r="T183" s="33" t="str">
        <f>_xlfn.CONCAT("I",(U183+9),".7")</f>
        <v>I1029.7</v>
      </c>
      <c r="U183" s="33">
        <v>1020</v>
      </c>
      <c r="V183" s="34"/>
    </row>
    <row r="184" spans="1:22" ht="14.45" customHeight="1" x14ac:dyDescent="0.25">
      <c r="A184" s="35" t="s">
        <v>27</v>
      </c>
      <c r="B184" s="15" t="s">
        <v>1</v>
      </c>
      <c r="C184" s="14" t="s">
        <v>62</v>
      </c>
      <c r="D184" s="14"/>
      <c r="E184" s="14" t="s">
        <v>394</v>
      </c>
      <c r="F184" s="15" t="s">
        <v>135</v>
      </c>
      <c r="G184" s="14" t="str">
        <f t="shared" si="6"/>
        <v>HF11_ST009_T0001_KEY_SWITCH_LOCAL_MODE</v>
      </c>
      <c r="H184" s="14" t="s">
        <v>213</v>
      </c>
      <c r="I184" s="15" t="s">
        <v>282</v>
      </c>
      <c r="J184" s="14" t="s">
        <v>259</v>
      </c>
      <c r="K184" s="14" t="s">
        <v>259</v>
      </c>
      <c r="L184" s="14" t="s">
        <v>259</v>
      </c>
      <c r="M184" s="14" t="s">
        <v>259</v>
      </c>
      <c r="N184" s="14" t="s">
        <v>259</v>
      </c>
      <c r="O184" s="14" t="s">
        <v>259</v>
      </c>
      <c r="P184" s="14" t="s">
        <v>259</v>
      </c>
      <c r="Q184" s="14" t="s">
        <v>259</v>
      </c>
      <c r="R184" s="14" t="s">
        <v>62</v>
      </c>
      <c r="S184" s="14" t="s">
        <v>354</v>
      </c>
      <c r="T184" s="14" t="str">
        <f>_xlfn.CONCAT("I",(U183+8),".0")</f>
        <v>I1028.0</v>
      </c>
      <c r="U184" s="14"/>
      <c r="V184" s="36"/>
    </row>
    <row r="185" spans="1:22" ht="14.45" customHeight="1" x14ac:dyDescent="0.25">
      <c r="A185" s="35" t="s">
        <v>27</v>
      </c>
      <c r="B185" s="15" t="s">
        <v>1</v>
      </c>
      <c r="C185" s="14"/>
      <c r="D185" s="14"/>
      <c r="E185" s="14" t="s">
        <v>259</v>
      </c>
      <c r="F185" s="14" t="s">
        <v>259</v>
      </c>
      <c r="G185" s="14" t="str">
        <f t="shared" si="6"/>
        <v>_SPARE</v>
      </c>
      <c r="H185" s="14" t="s">
        <v>192</v>
      </c>
      <c r="I185" s="14" t="s">
        <v>259</v>
      </c>
      <c r="J185" s="14" t="s">
        <v>259</v>
      </c>
      <c r="K185" s="14" t="s">
        <v>259</v>
      </c>
      <c r="L185" s="14" t="s">
        <v>259</v>
      </c>
      <c r="M185" s="14" t="s">
        <v>259</v>
      </c>
      <c r="N185" s="14" t="s">
        <v>259</v>
      </c>
      <c r="O185" s="14" t="s">
        <v>259</v>
      </c>
      <c r="P185" s="14" t="s">
        <v>259</v>
      </c>
      <c r="Q185" s="14" t="s">
        <v>259</v>
      </c>
      <c r="R185" s="14" t="s">
        <v>62</v>
      </c>
      <c r="S185" s="14" t="s">
        <v>355</v>
      </c>
      <c r="T185" s="14"/>
      <c r="U185" s="14"/>
      <c r="V185" s="36"/>
    </row>
    <row r="186" spans="1:22" ht="14.45" customHeight="1" x14ac:dyDescent="0.25">
      <c r="A186" s="35" t="s">
        <v>27</v>
      </c>
      <c r="B186" s="15" t="s">
        <v>1</v>
      </c>
      <c r="C186" s="15"/>
      <c r="D186" s="14"/>
      <c r="E186" s="14" t="s">
        <v>259</v>
      </c>
      <c r="F186" s="15" t="s">
        <v>259</v>
      </c>
      <c r="G186" s="14" t="str">
        <f t="shared" si="6"/>
        <v>_SPARE</v>
      </c>
      <c r="H186" s="14" t="s">
        <v>192</v>
      </c>
      <c r="I186" s="15" t="s">
        <v>259</v>
      </c>
      <c r="J186" s="14" t="s">
        <v>259</v>
      </c>
      <c r="K186" s="14" t="s">
        <v>259</v>
      </c>
      <c r="L186" s="14" t="s">
        <v>259</v>
      </c>
      <c r="M186" s="14" t="s">
        <v>259</v>
      </c>
      <c r="N186" s="14" t="s">
        <v>259</v>
      </c>
      <c r="O186" s="14" t="s">
        <v>259</v>
      </c>
      <c r="P186" s="14" t="s">
        <v>259</v>
      </c>
      <c r="Q186" s="14" t="s">
        <v>259</v>
      </c>
      <c r="R186" s="14" t="s">
        <v>62</v>
      </c>
      <c r="S186" s="14" t="s">
        <v>356</v>
      </c>
      <c r="T186" s="14" t="str">
        <f>_xlfn.CONCAT("I",(U183+9),".1")</f>
        <v>I1029.1</v>
      </c>
      <c r="U186" s="14"/>
      <c r="V186" s="36"/>
    </row>
    <row r="187" spans="1:22" ht="14.45" customHeight="1" x14ac:dyDescent="0.25">
      <c r="A187" s="35" t="s">
        <v>27</v>
      </c>
      <c r="B187" s="15" t="s">
        <v>1</v>
      </c>
      <c r="C187" s="14"/>
      <c r="D187" s="14"/>
      <c r="E187" s="14" t="s">
        <v>259</v>
      </c>
      <c r="F187" s="14" t="s">
        <v>259</v>
      </c>
      <c r="G187" s="14" t="str">
        <f t="shared" si="6"/>
        <v>_SPARE</v>
      </c>
      <c r="H187" s="14" t="s">
        <v>192</v>
      </c>
      <c r="I187" s="14" t="s">
        <v>259</v>
      </c>
      <c r="J187" s="14" t="s">
        <v>259</v>
      </c>
      <c r="K187" s="14" t="s">
        <v>259</v>
      </c>
      <c r="L187" s="14" t="s">
        <v>259</v>
      </c>
      <c r="M187" s="14" t="s">
        <v>259</v>
      </c>
      <c r="N187" s="14" t="s">
        <v>259</v>
      </c>
      <c r="O187" s="14" t="s">
        <v>259</v>
      </c>
      <c r="P187" s="14" t="s">
        <v>259</v>
      </c>
      <c r="Q187" s="14" t="s">
        <v>259</v>
      </c>
      <c r="R187" s="14" t="s">
        <v>62</v>
      </c>
      <c r="S187" s="14" t="s">
        <v>357</v>
      </c>
      <c r="T187" s="14"/>
      <c r="U187" s="14"/>
      <c r="V187" s="36"/>
    </row>
    <row r="188" spans="1:22" ht="14.45" customHeight="1" x14ac:dyDescent="0.25">
      <c r="A188" s="35" t="s">
        <v>27</v>
      </c>
      <c r="B188" s="15" t="s">
        <v>1</v>
      </c>
      <c r="C188" s="15"/>
      <c r="D188" s="14"/>
      <c r="E188" s="14" t="s">
        <v>259</v>
      </c>
      <c r="F188" s="15" t="s">
        <v>259</v>
      </c>
      <c r="G188" s="14" t="str">
        <f t="shared" si="6"/>
        <v>_SPARE</v>
      </c>
      <c r="H188" s="14" t="s">
        <v>192</v>
      </c>
      <c r="I188" s="15" t="s">
        <v>259</v>
      </c>
      <c r="J188" s="14" t="s">
        <v>259</v>
      </c>
      <c r="K188" s="14" t="s">
        <v>259</v>
      </c>
      <c r="L188" s="14" t="s">
        <v>259</v>
      </c>
      <c r="M188" s="14" t="s">
        <v>259</v>
      </c>
      <c r="N188" s="14" t="s">
        <v>259</v>
      </c>
      <c r="O188" s="14" t="s">
        <v>259</v>
      </c>
      <c r="P188" s="14" t="s">
        <v>259</v>
      </c>
      <c r="Q188" s="14" t="s">
        <v>259</v>
      </c>
      <c r="R188" s="14" t="s">
        <v>62</v>
      </c>
      <c r="S188" s="14" t="s">
        <v>358</v>
      </c>
      <c r="T188" s="14"/>
      <c r="U188" s="14"/>
      <c r="V188" s="36"/>
    </row>
    <row r="189" spans="1:22" ht="14.45" customHeight="1" x14ac:dyDescent="0.25">
      <c r="A189" s="35" t="s">
        <v>27</v>
      </c>
      <c r="B189" s="15" t="s">
        <v>1</v>
      </c>
      <c r="C189" s="14"/>
      <c r="D189" s="14"/>
      <c r="E189" s="14" t="s">
        <v>259</v>
      </c>
      <c r="F189" s="14" t="s">
        <v>259</v>
      </c>
      <c r="G189" s="14" t="str">
        <f t="shared" si="6"/>
        <v>_SPARE</v>
      </c>
      <c r="H189" s="14" t="s">
        <v>192</v>
      </c>
      <c r="I189" s="14" t="s">
        <v>259</v>
      </c>
      <c r="J189" s="14" t="s">
        <v>259</v>
      </c>
      <c r="K189" s="14" t="s">
        <v>259</v>
      </c>
      <c r="L189" s="14" t="s">
        <v>259</v>
      </c>
      <c r="M189" s="14" t="s">
        <v>259</v>
      </c>
      <c r="N189" s="14" t="s">
        <v>259</v>
      </c>
      <c r="O189" s="14" t="s">
        <v>259</v>
      </c>
      <c r="P189" s="14" t="s">
        <v>259</v>
      </c>
      <c r="Q189" s="14" t="s">
        <v>259</v>
      </c>
      <c r="R189" s="14" t="s">
        <v>62</v>
      </c>
      <c r="S189" s="14" t="s">
        <v>359</v>
      </c>
      <c r="T189" s="14"/>
      <c r="U189" s="14"/>
      <c r="V189" s="36"/>
    </row>
    <row r="190" spans="1:22" ht="14.45" customHeight="1" x14ac:dyDescent="0.25">
      <c r="A190" s="35" t="s">
        <v>27</v>
      </c>
      <c r="B190" s="15" t="s">
        <v>1</v>
      </c>
      <c r="C190" s="15"/>
      <c r="D190" s="14"/>
      <c r="E190" s="14" t="s">
        <v>259</v>
      </c>
      <c r="F190" s="15" t="s">
        <v>259</v>
      </c>
      <c r="G190" s="14" t="str">
        <f t="shared" si="6"/>
        <v>_SPARE</v>
      </c>
      <c r="H190" s="14" t="s">
        <v>192</v>
      </c>
      <c r="I190" s="14" t="s">
        <v>259</v>
      </c>
      <c r="J190" s="14" t="s">
        <v>259</v>
      </c>
      <c r="K190" s="14" t="s">
        <v>259</v>
      </c>
      <c r="L190" s="14" t="s">
        <v>259</v>
      </c>
      <c r="M190" s="14" t="s">
        <v>259</v>
      </c>
      <c r="N190" s="14" t="s">
        <v>259</v>
      </c>
      <c r="O190" s="14" t="s">
        <v>259</v>
      </c>
      <c r="P190" s="14" t="s">
        <v>259</v>
      </c>
      <c r="Q190" s="14" t="s">
        <v>259</v>
      </c>
      <c r="R190" s="14" t="s">
        <v>62</v>
      </c>
      <c r="S190" s="14" t="s">
        <v>360</v>
      </c>
      <c r="T190" s="14"/>
      <c r="U190" s="14"/>
      <c r="V190" s="36"/>
    </row>
    <row r="191" spans="1:22" ht="14.45" customHeight="1" x14ac:dyDescent="0.25">
      <c r="A191" s="35" t="s">
        <v>27</v>
      </c>
      <c r="B191" s="15" t="s">
        <v>1</v>
      </c>
      <c r="C191" s="14"/>
      <c r="D191" s="14"/>
      <c r="E191" s="14" t="s">
        <v>259</v>
      </c>
      <c r="F191" s="14" t="s">
        <v>259</v>
      </c>
      <c r="G191" s="14" t="str">
        <f t="shared" si="6"/>
        <v>_SPARE</v>
      </c>
      <c r="H191" s="14" t="s">
        <v>192</v>
      </c>
      <c r="I191" s="14" t="s">
        <v>259</v>
      </c>
      <c r="J191" s="14" t="s">
        <v>259</v>
      </c>
      <c r="K191" s="14" t="s">
        <v>259</v>
      </c>
      <c r="L191" s="14" t="s">
        <v>259</v>
      </c>
      <c r="M191" s="14" t="s">
        <v>259</v>
      </c>
      <c r="N191" s="14" t="s">
        <v>259</v>
      </c>
      <c r="O191" s="14" t="s">
        <v>259</v>
      </c>
      <c r="P191" s="14" t="s">
        <v>259</v>
      </c>
      <c r="Q191" s="14" t="s">
        <v>259</v>
      </c>
      <c r="R191" s="14" t="s">
        <v>62</v>
      </c>
      <c r="S191" s="14" t="s">
        <v>361</v>
      </c>
      <c r="T191" s="14"/>
      <c r="U191" s="14"/>
      <c r="V191" s="36"/>
    </row>
    <row r="192" spans="1:22" ht="14.45" customHeight="1" x14ac:dyDescent="0.25">
      <c r="A192" s="35" t="s">
        <v>27</v>
      </c>
      <c r="B192" s="15" t="s">
        <v>1</v>
      </c>
      <c r="C192" s="14"/>
      <c r="D192" s="14"/>
      <c r="E192" s="14" t="s">
        <v>259</v>
      </c>
      <c r="F192" s="14" t="s">
        <v>259</v>
      </c>
      <c r="G192" s="14" t="str">
        <f t="shared" si="6"/>
        <v>_SPARE</v>
      </c>
      <c r="H192" s="14" t="s">
        <v>192</v>
      </c>
      <c r="I192" s="14" t="s">
        <v>259</v>
      </c>
      <c r="J192" s="14" t="s">
        <v>259</v>
      </c>
      <c r="K192" s="14" t="s">
        <v>259</v>
      </c>
      <c r="L192" s="14" t="s">
        <v>259</v>
      </c>
      <c r="M192" s="14" t="s">
        <v>259</v>
      </c>
      <c r="N192" s="14" t="s">
        <v>259</v>
      </c>
      <c r="O192" s="14" t="s">
        <v>259</v>
      </c>
      <c r="P192" s="14" t="s">
        <v>259</v>
      </c>
      <c r="Q192" s="14" t="s">
        <v>259</v>
      </c>
      <c r="R192" s="14" t="s">
        <v>62</v>
      </c>
      <c r="S192" s="14" t="s">
        <v>362</v>
      </c>
      <c r="T192" s="14"/>
      <c r="U192" s="14"/>
      <c r="V192" s="36"/>
    </row>
    <row r="193" spans="1:22" ht="14.45" customHeight="1" thickBot="1" x14ac:dyDescent="0.3">
      <c r="A193" s="37" t="s">
        <v>27</v>
      </c>
      <c r="B193" s="38" t="s">
        <v>1</v>
      </c>
      <c r="C193" s="39"/>
      <c r="D193" s="39"/>
      <c r="E193" s="39" t="s">
        <v>259</v>
      </c>
      <c r="F193" s="39" t="s">
        <v>259</v>
      </c>
      <c r="G193" s="39" t="str">
        <f t="shared" si="6"/>
        <v>_SPARE</v>
      </c>
      <c r="H193" s="39" t="s">
        <v>192</v>
      </c>
      <c r="I193" s="39" t="s">
        <v>259</v>
      </c>
      <c r="J193" s="39" t="s">
        <v>259</v>
      </c>
      <c r="K193" s="39" t="s">
        <v>259</v>
      </c>
      <c r="L193" s="39" t="s">
        <v>259</v>
      </c>
      <c r="M193" s="39" t="s">
        <v>259</v>
      </c>
      <c r="N193" s="39" t="s">
        <v>259</v>
      </c>
      <c r="O193" s="39" t="s">
        <v>259</v>
      </c>
      <c r="P193" s="39" t="s">
        <v>259</v>
      </c>
      <c r="Q193" s="39" t="s">
        <v>259</v>
      </c>
      <c r="R193" s="39" t="s">
        <v>62</v>
      </c>
      <c r="S193" s="39" t="s">
        <v>363</v>
      </c>
      <c r="T193" s="39"/>
      <c r="U193" s="39"/>
      <c r="V193" s="40"/>
    </row>
    <row r="194" spans="1:22" ht="14.45" customHeight="1" x14ac:dyDescent="0.25">
      <c r="A194" s="31" t="s">
        <v>27</v>
      </c>
      <c r="B194" s="32" t="s">
        <v>1</v>
      </c>
      <c r="C194" s="33" t="s">
        <v>62</v>
      </c>
      <c r="D194" s="33"/>
      <c r="E194" s="33" t="s">
        <v>395</v>
      </c>
      <c r="F194" s="32" t="s">
        <v>137</v>
      </c>
      <c r="G194" s="33" t="str">
        <f t="shared" si="6"/>
        <v>HF11_ST011_T0001_SAFETY_SWITCH_POWER_SUPPLY_400V</v>
      </c>
      <c r="H194" s="33" t="s">
        <v>667</v>
      </c>
      <c r="I194" s="32" t="s">
        <v>283</v>
      </c>
      <c r="J194" s="33" t="s">
        <v>259</v>
      </c>
      <c r="K194" s="33" t="s">
        <v>259</v>
      </c>
      <c r="L194" s="33" t="s">
        <v>259</v>
      </c>
      <c r="M194" s="33" t="s">
        <v>259</v>
      </c>
      <c r="N194" s="33" t="s">
        <v>259</v>
      </c>
      <c r="O194" s="33" t="s">
        <v>259</v>
      </c>
      <c r="P194" s="33" t="s">
        <v>259</v>
      </c>
      <c r="Q194" s="33" t="s">
        <v>259</v>
      </c>
      <c r="R194" s="33" t="s">
        <v>62</v>
      </c>
      <c r="S194" s="33" t="s">
        <v>353</v>
      </c>
      <c r="T194" s="33" t="str">
        <f>_xlfn.CONCAT("I",(U194+9),".7")</f>
        <v>I1049.7</v>
      </c>
      <c r="U194" s="33">
        <v>1040</v>
      </c>
      <c r="V194" s="34"/>
    </row>
    <row r="195" spans="1:22" ht="14.45" customHeight="1" x14ac:dyDescent="0.25">
      <c r="A195" s="35" t="s">
        <v>27</v>
      </c>
      <c r="B195" s="15" t="s">
        <v>1</v>
      </c>
      <c r="C195" s="14" t="s">
        <v>62</v>
      </c>
      <c r="D195" s="14"/>
      <c r="E195" s="14" t="s">
        <v>395</v>
      </c>
      <c r="F195" s="15" t="s">
        <v>137</v>
      </c>
      <c r="G195" s="14" t="str">
        <f t="shared" si="6"/>
        <v>HF11_ST011_T0001_KEY_SWITCH_LOCAL_MODE</v>
      </c>
      <c r="H195" s="14" t="s">
        <v>213</v>
      </c>
      <c r="I195" s="15" t="s">
        <v>283</v>
      </c>
      <c r="J195" s="14" t="s">
        <v>259</v>
      </c>
      <c r="K195" s="14" t="s">
        <v>259</v>
      </c>
      <c r="L195" s="14" t="s">
        <v>259</v>
      </c>
      <c r="M195" s="14" t="s">
        <v>259</v>
      </c>
      <c r="N195" s="14" t="s">
        <v>259</v>
      </c>
      <c r="O195" s="14" t="s">
        <v>259</v>
      </c>
      <c r="P195" s="14" t="s">
        <v>259</v>
      </c>
      <c r="Q195" s="14" t="s">
        <v>259</v>
      </c>
      <c r="R195" s="14" t="s">
        <v>62</v>
      </c>
      <c r="S195" s="14" t="s">
        <v>354</v>
      </c>
      <c r="T195" s="14" t="str">
        <f>_xlfn.CONCAT("I",(U194+8),".0")</f>
        <v>I1048.0</v>
      </c>
      <c r="U195" s="14"/>
      <c r="V195" s="36"/>
    </row>
    <row r="196" spans="1:22" ht="14.45" customHeight="1" x14ac:dyDescent="0.25">
      <c r="A196" s="35" t="s">
        <v>27</v>
      </c>
      <c r="B196" s="15" t="s">
        <v>1</v>
      </c>
      <c r="C196" s="14"/>
      <c r="D196" s="14"/>
      <c r="E196" s="14" t="s">
        <v>259</v>
      </c>
      <c r="F196" s="14" t="s">
        <v>259</v>
      </c>
      <c r="G196" s="14" t="str">
        <f t="shared" si="6"/>
        <v>_SPARE</v>
      </c>
      <c r="H196" s="14" t="s">
        <v>192</v>
      </c>
      <c r="I196" s="14" t="s">
        <v>259</v>
      </c>
      <c r="J196" s="14" t="s">
        <v>259</v>
      </c>
      <c r="K196" s="14" t="s">
        <v>259</v>
      </c>
      <c r="L196" s="14" t="s">
        <v>259</v>
      </c>
      <c r="M196" s="14" t="s">
        <v>259</v>
      </c>
      <c r="N196" s="14" t="s">
        <v>259</v>
      </c>
      <c r="O196" s="14" t="s">
        <v>259</v>
      </c>
      <c r="P196" s="14" t="s">
        <v>259</v>
      </c>
      <c r="Q196" s="14" t="s">
        <v>259</v>
      </c>
      <c r="R196" s="14" t="s">
        <v>62</v>
      </c>
      <c r="S196" s="14" t="s">
        <v>355</v>
      </c>
      <c r="T196" s="14"/>
      <c r="U196" s="14"/>
      <c r="V196" s="36"/>
    </row>
    <row r="197" spans="1:22" ht="14.45" customHeight="1" x14ac:dyDescent="0.25">
      <c r="A197" s="35" t="s">
        <v>27</v>
      </c>
      <c r="B197" s="15" t="s">
        <v>1</v>
      </c>
      <c r="C197" s="15" t="s">
        <v>66</v>
      </c>
      <c r="D197" s="14" t="s">
        <v>366</v>
      </c>
      <c r="E197" s="14" t="s">
        <v>395</v>
      </c>
      <c r="F197" s="15" t="s">
        <v>139</v>
      </c>
      <c r="G197" s="14" t="str">
        <f t="shared" si="6"/>
        <v>HF11_ST011_B1601_JAM_DETECTION</v>
      </c>
      <c r="H197" s="14" t="s">
        <v>217</v>
      </c>
      <c r="I197" s="15" t="s">
        <v>283</v>
      </c>
      <c r="J197" s="14" t="s">
        <v>259</v>
      </c>
      <c r="K197" s="14" t="s">
        <v>259</v>
      </c>
      <c r="L197" s="14" t="s">
        <v>259</v>
      </c>
      <c r="M197" s="14" t="s">
        <v>259</v>
      </c>
      <c r="N197" s="14" t="s">
        <v>259</v>
      </c>
      <c r="O197" s="14" t="s">
        <v>259</v>
      </c>
      <c r="P197" s="14" t="s">
        <v>259</v>
      </c>
      <c r="Q197" s="14" t="s">
        <v>259</v>
      </c>
      <c r="R197" s="14" t="s">
        <v>62</v>
      </c>
      <c r="S197" s="14" t="s">
        <v>356</v>
      </c>
      <c r="T197" s="14" t="str">
        <f>_xlfn.CONCAT("I",(U194+9),".1")</f>
        <v>I1049.1</v>
      </c>
      <c r="U197" s="14"/>
      <c r="V197" s="36"/>
    </row>
    <row r="198" spans="1:22" ht="14.45" customHeight="1" x14ac:dyDescent="0.25">
      <c r="A198" s="35" t="s">
        <v>27</v>
      </c>
      <c r="B198" s="15" t="s">
        <v>1</v>
      </c>
      <c r="C198" s="14"/>
      <c r="D198" s="14"/>
      <c r="E198" s="14" t="s">
        <v>259</v>
      </c>
      <c r="F198" s="14" t="s">
        <v>259</v>
      </c>
      <c r="G198" s="14" t="str">
        <f t="shared" si="6"/>
        <v>_SPARE</v>
      </c>
      <c r="H198" s="14" t="s">
        <v>192</v>
      </c>
      <c r="I198" s="14" t="s">
        <v>259</v>
      </c>
      <c r="J198" s="14" t="s">
        <v>259</v>
      </c>
      <c r="K198" s="14" t="s">
        <v>259</v>
      </c>
      <c r="L198" s="14" t="s">
        <v>259</v>
      </c>
      <c r="M198" s="14" t="s">
        <v>259</v>
      </c>
      <c r="N198" s="14" t="s">
        <v>259</v>
      </c>
      <c r="O198" s="14" t="s">
        <v>259</v>
      </c>
      <c r="P198" s="14" t="s">
        <v>259</v>
      </c>
      <c r="Q198" s="14" t="s">
        <v>259</v>
      </c>
      <c r="R198" s="14" t="s">
        <v>62</v>
      </c>
      <c r="S198" s="14" t="s">
        <v>357</v>
      </c>
      <c r="T198" s="14"/>
      <c r="U198" s="14"/>
      <c r="V198" s="36"/>
    </row>
    <row r="199" spans="1:22" ht="14.45" customHeight="1" x14ac:dyDescent="0.25">
      <c r="A199" s="35" t="s">
        <v>27</v>
      </c>
      <c r="B199" s="15" t="s">
        <v>1</v>
      </c>
      <c r="C199" s="15" t="s">
        <v>63</v>
      </c>
      <c r="D199" s="14" t="s">
        <v>367</v>
      </c>
      <c r="E199" s="14" t="s">
        <v>395</v>
      </c>
      <c r="F199" s="15" t="s">
        <v>140</v>
      </c>
      <c r="G199" s="14" t="str">
        <f t="shared" si="6"/>
        <v>HF11_ST011_B1101_STOP_HEAD_PHOTOCELL</v>
      </c>
      <c r="H199" s="14" t="s">
        <v>214</v>
      </c>
      <c r="I199" s="15" t="s">
        <v>283</v>
      </c>
      <c r="J199" s="14" t="s">
        <v>259</v>
      </c>
      <c r="K199" s="14" t="s">
        <v>259</v>
      </c>
      <c r="L199" s="14" t="s">
        <v>259</v>
      </c>
      <c r="M199" s="14" t="s">
        <v>259</v>
      </c>
      <c r="N199" s="14" t="s">
        <v>259</v>
      </c>
      <c r="O199" s="14" t="s">
        <v>259</v>
      </c>
      <c r="P199" s="14" t="s">
        <v>259</v>
      </c>
      <c r="Q199" s="14" t="s">
        <v>259</v>
      </c>
      <c r="R199" s="14" t="s">
        <v>62</v>
      </c>
      <c r="S199" s="14" t="s">
        <v>358</v>
      </c>
      <c r="T199" s="14" t="s">
        <v>666</v>
      </c>
      <c r="U199" s="14"/>
      <c r="V199" s="36"/>
    </row>
    <row r="200" spans="1:22" ht="14.45" customHeight="1" x14ac:dyDescent="0.25">
      <c r="A200" s="35" t="s">
        <v>27</v>
      </c>
      <c r="B200" s="15" t="s">
        <v>1</v>
      </c>
      <c r="C200" s="14"/>
      <c r="D200" s="14"/>
      <c r="E200" s="14" t="s">
        <v>259</v>
      </c>
      <c r="F200" s="14" t="s">
        <v>259</v>
      </c>
      <c r="G200" s="14" t="str">
        <f t="shared" si="6"/>
        <v>_SPARE</v>
      </c>
      <c r="H200" s="14" t="s">
        <v>192</v>
      </c>
      <c r="I200" s="14" t="s">
        <v>259</v>
      </c>
      <c r="J200" s="14" t="s">
        <v>259</v>
      </c>
      <c r="K200" s="14" t="s">
        <v>259</v>
      </c>
      <c r="L200" s="14" t="s">
        <v>259</v>
      </c>
      <c r="M200" s="14" t="s">
        <v>259</v>
      </c>
      <c r="N200" s="14" t="s">
        <v>259</v>
      </c>
      <c r="O200" s="14" t="s">
        <v>259</v>
      </c>
      <c r="P200" s="14" t="s">
        <v>259</v>
      </c>
      <c r="Q200" s="14" t="s">
        <v>259</v>
      </c>
      <c r="R200" s="14" t="s">
        <v>62</v>
      </c>
      <c r="S200" s="14" t="s">
        <v>359</v>
      </c>
      <c r="T200" s="14"/>
      <c r="U200" s="14"/>
      <c r="V200" s="36"/>
    </row>
    <row r="201" spans="1:22" ht="14.45" customHeight="1" x14ac:dyDescent="0.25">
      <c r="A201" s="35" t="s">
        <v>27</v>
      </c>
      <c r="B201" s="15" t="s">
        <v>1</v>
      </c>
      <c r="C201" s="15"/>
      <c r="D201" s="14"/>
      <c r="E201" s="14" t="s">
        <v>259</v>
      </c>
      <c r="F201" s="15" t="s">
        <v>259</v>
      </c>
      <c r="G201" s="14" t="str">
        <f t="shared" si="6"/>
        <v>_SPARE</v>
      </c>
      <c r="H201" s="14" t="s">
        <v>192</v>
      </c>
      <c r="I201" s="14" t="s">
        <v>259</v>
      </c>
      <c r="J201" s="14" t="s">
        <v>259</v>
      </c>
      <c r="K201" s="14" t="s">
        <v>259</v>
      </c>
      <c r="L201" s="14" t="s">
        <v>259</v>
      </c>
      <c r="M201" s="14" t="s">
        <v>259</v>
      </c>
      <c r="N201" s="14" t="s">
        <v>259</v>
      </c>
      <c r="O201" s="14" t="s">
        <v>259</v>
      </c>
      <c r="P201" s="14" t="s">
        <v>259</v>
      </c>
      <c r="Q201" s="14" t="s">
        <v>259</v>
      </c>
      <c r="R201" s="14" t="s">
        <v>62</v>
      </c>
      <c r="S201" s="14" t="s">
        <v>360</v>
      </c>
      <c r="T201" s="14"/>
      <c r="U201" s="14"/>
      <c r="V201" s="36"/>
    </row>
    <row r="202" spans="1:22" ht="14.45" customHeight="1" x14ac:dyDescent="0.25">
      <c r="A202" s="35" t="s">
        <v>27</v>
      </c>
      <c r="B202" s="15" t="s">
        <v>1</v>
      </c>
      <c r="C202" s="14"/>
      <c r="D202" s="14"/>
      <c r="E202" s="14" t="s">
        <v>259</v>
      </c>
      <c r="F202" s="14" t="s">
        <v>259</v>
      </c>
      <c r="G202" s="14" t="str">
        <f t="shared" si="6"/>
        <v>_SPARE</v>
      </c>
      <c r="H202" s="14" t="s">
        <v>192</v>
      </c>
      <c r="I202" s="14" t="s">
        <v>259</v>
      </c>
      <c r="J202" s="14" t="s">
        <v>259</v>
      </c>
      <c r="K202" s="14" t="s">
        <v>259</v>
      </c>
      <c r="L202" s="14" t="s">
        <v>259</v>
      </c>
      <c r="M202" s="14" t="s">
        <v>259</v>
      </c>
      <c r="N202" s="14" t="s">
        <v>259</v>
      </c>
      <c r="O202" s="14" t="s">
        <v>259</v>
      </c>
      <c r="P202" s="14" t="s">
        <v>259</v>
      </c>
      <c r="Q202" s="14" t="s">
        <v>259</v>
      </c>
      <c r="R202" s="14" t="s">
        <v>62</v>
      </c>
      <c r="S202" s="14" t="s">
        <v>361</v>
      </c>
      <c r="T202" s="14"/>
      <c r="U202" s="14"/>
      <c r="V202" s="36"/>
    </row>
    <row r="203" spans="1:22" ht="14.45" customHeight="1" x14ac:dyDescent="0.25">
      <c r="A203" s="35" t="s">
        <v>27</v>
      </c>
      <c r="B203" s="15" t="s">
        <v>1</v>
      </c>
      <c r="C203" s="14"/>
      <c r="D203" s="14"/>
      <c r="E203" s="14" t="s">
        <v>259</v>
      </c>
      <c r="F203" s="14" t="s">
        <v>259</v>
      </c>
      <c r="G203" s="14" t="str">
        <f t="shared" si="6"/>
        <v>_SPARE</v>
      </c>
      <c r="H203" s="14" t="s">
        <v>192</v>
      </c>
      <c r="I203" s="14" t="s">
        <v>259</v>
      </c>
      <c r="J203" s="14" t="s">
        <v>259</v>
      </c>
      <c r="K203" s="14" t="s">
        <v>259</v>
      </c>
      <c r="L203" s="14" t="s">
        <v>259</v>
      </c>
      <c r="M203" s="14" t="s">
        <v>259</v>
      </c>
      <c r="N203" s="14" t="s">
        <v>259</v>
      </c>
      <c r="O203" s="14" t="s">
        <v>259</v>
      </c>
      <c r="P203" s="14" t="s">
        <v>259</v>
      </c>
      <c r="Q203" s="14" t="s">
        <v>259</v>
      </c>
      <c r="R203" s="14" t="s">
        <v>62</v>
      </c>
      <c r="S203" s="14" t="s">
        <v>362</v>
      </c>
      <c r="T203" s="14"/>
      <c r="U203" s="14"/>
      <c r="V203" s="36"/>
    </row>
    <row r="204" spans="1:22" ht="14.45" customHeight="1" thickBot="1" x14ac:dyDescent="0.3">
      <c r="A204" s="37" t="s">
        <v>27</v>
      </c>
      <c r="B204" s="38" t="s">
        <v>1</v>
      </c>
      <c r="C204" s="39"/>
      <c r="D204" s="39"/>
      <c r="E204" s="39" t="s">
        <v>259</v>
      </c>
      <c r="F204" s="39" t="s">
        <v>259</v>
      </c>
      <c r="G204" s="39" t="str">
        <f t="shared" si="6"/>
        <v>_SPARE</v>
      </c>
      <c r="H204" s="39" t="s">
        <v>192</v>
      </c>
      <c r="I204" s="39" t="s">
        <v>259</v>
      </c>
      <c r="J204" s="39" t="s">
        <v>259</v>
      </c>
      <c r="K204" s="39" t="s">
        <v>259</v>
      </c>
      <c r="L204" s="39" t="s">
        <v>259</v>
      </c>
      <c r="M204" s="39" t="s">
        <v>259</v>
      </c>
      <c r="N204" s="39" t="s">
        <v>259</v>
      </c>
      <c r="O204" s="39" t="s">
        <v>259</v>
      </c>
      <c r="P204" s="39" t="s">
        <v>259</v>
      </c>
      <c r="Q204" s="39" t="s">
        <v>259</v>
      </c>
      <c r="R204" s="39" t="s">
        <v>62</v>
      </c>
      <c r="S204" s="39" t="s">
        <v>363</v>
      </c>
      <c r="T204" s="39"/>
      <c r="U204" s="39"/>
      <c r="V204" s="40"/>
    </row>
    <row r="205" spans="1:22" ht="14.45" customHeight="1" x14ac:dyDescent="0.25">
      <c r="A205" s="31" t="s">
        <v>27</v>
      </c>
      <c r="B205" s="32" t="s">
        <v>1</v>
      </c>
      <c r="C205" s="33" t="s">
        <v>62</v>
      </c>
      <c r="D205" s="33"/>
      <c r="E205" s="33" t="s">
        <v>396</v>
      </c>
      <c r="F205" s="32" t="s">
        <v>141</v>
      </c>
      <c r="G205" s="33" t="str">
        <f t="shared" si="6"/>
        <v>HF11_ST017_T0001_SAFETY_SWITCH_POWER_SUPPLY_400V</v>
      </c>
      <c r="H205" s="33" t="s">
        <v>667</v>
      </c>
      <c r="I205" s="32" t="s">
        <v>284</v>
      </c>
      <c r="J205" s="33" t="s">
        <v>259</v>
      </c>
      <c r="K205" s="33" t="s">
        <v>259</v>
      </c>
      <c r="L205" s="33" t="s">
        <v>259</v>
      </c>
      <c r="M205" s="33" t="s">
        <v>259</v>
      </c>
      <c r="N205" s="33" t="s">
        <v>259</v>
      </c>
      <c r="O205" s="33" t="s">
        <v>259</v>
      </c>
      <c r="P205" s="33" t="s">
        <v>259</v>
      </c>
      <c r="Q205" s="33" t="s">
        <v>259</v>
      </c>
      <c r="R205" s="33" t="s">
        <v>62</v>
      </c>
      <c r="S205" s="33" t="s">
        <v>353</v>
      </c>
      <c r="T205" s="33" t="str">
        <f>_xlfn.CONCAT("I",(U205+9),".7")</f>
        <v>I1069.7</v>
      </c>
      <c r="U205" s="33">
        <v>1060</v>
      </c>
      <c r="V205" s="34"/>
    </row>
    <row r="206" spans="1:22" ht="14.45" customHeight="1" x14ac:dyDescent="0.25">
      <c r="A206" s="35" t="s">
        <v>27</v>
      </c>
      <c r="B206" s="15" t="s">
        <v>1</v>
      </c>
      <c r="C206" s="14" t="s">
        <v>62</v>
      </c>
      <c r="D206" s="14"/>
      <c r="E206" s="14" t="s">
        <v>396</v>
      </c>
      <c r="F206" s="15" t="s">
        <v>141</v>
      </c>
      <c r="G206" s="14" t="str">
        <f t="shared" si="6"/>
        <v>HF11_ST017_T0001_KEY_SWITCH_LOCAL_MODE</v>
      </c>
      <c r="H206" s="14" t="s">
        <v>213</v>
      </c>
      <c r="I206" s="15" t="s">
        <v>284</v>
      </c>
      <c r="J206" s="14" t="s">
        <v>259</v>
      </c>
      <c r="K206" s="14" t="s">
        <v>259</v>
      </c>
      <c r="L206" s="14" t="s">
        <v>259</v>
      </c>
      <c r="M206" s="14" t="s">
        <v>259</v>
      </c>
      <c r="N206" s="14" t="s">
        <v>259</v>
      </c>
      <c r="O206" s="14" t="s">
        <v>259</v>
      </c>
      <c r="P206" s="14" t="s">
        <v>259</v>
      </c>
      <c r="Q206" s="14" t="s">
        <v>259</v>
      </c>
      <c r="R206" s="14" t="s">
        <v>62</v>
      </c>
      <c r="S206" s="14" t="s">
        <v>354</v>
      </c>
      <c r="T206" s="14" t="str">
        <f>_xlfn.CONCAT("I",(U205+8),".0")</f>
        <v>I1068.0</v>
      </c>
      <c r="U206" s="14"/>
      <c r="V206" s="36"/>
    </row>
    <row r="207" spans="1:22" ht="14.45" customHeight="1" x14ac:dyDescent="0.25">
      <c r="A207" s="35" t="s">
        <v>27</v>
      </c>
      <c r="B207" s="15" t="s">
        <v>1</v>
      </c>
      <c r="C207" s="14"/>
      <c r="D207" s="14"/>
      <c r="E207" s="14" t="s">
        <v>259</v>
      </c>
      <c r="F207" s="14" t="s">
        <v>259</v>
      </c>
      <c r="G207" s="14" t="str">
        <f t="shared" si="6"/>
        <v>_SPARE</v>
      </c>
      <c r="H207" s="14" t="s">
        <v>192</v>
      </c>
      <c r="I207" s="14" t="s">
        <v>259</v>
      </c>
      <c r="J207" s="14" t="s">
        <v>259</v>
      </c>
      <c r="K207" s="14" t="s">
        <v>259</v>
      </c>
      <c r="L207" s="14" t="s">
        <v>259</v>
      </c>
      <c r="M207" s="14" t="s">
        <v>259</v>
      </c>
      <c r="N207" s="14" t="s">
        <v>259</v>
      </c>
      <c r="O207" s="14" t="s">
        <v>259</v>
      </c>
      <c r="P207" s="14" t="s">
        <v>259</v>
      </c>
      <c r="Q207" s="14" t="s">
        <v>259</v>
      </c>
      <c r="R207" s="14" t="s">
        <v>62</v>
      </c>
      <c r="S207" s="14" t="s">
        <v>355</v>
      </c>
      <c r="T207" s="14"/>
      <c r="U207" s="14"/>
      <c r="V207" s="36"/>
    </row>
    <row r="208" spans="1:22" ht="14.45" customHeight="1" x14ac:dyDescent="0.25">
      <c r="A208" s="35" t="s">
        <v>27</v>
      </c>
      <c r="B208" s="15" t="s">
        <v>1</v>
      </c>
      <c r="C208" s="15" t="s">
        <v>63</v>
      </c>
      <c r="D208" s="14" t="s">
        <v>368</v>
      </c>
      <c r="E208" s="14" t="s">
        <v>396</v>
      </c>
      <c r="F208" s="15" t="s">
        <v>143</v>
      </c>
      <c r="G208" s="14" t="str">
        <f t="shared" si="6"/>
        <v>HF11_ST017_B1101_STOP_HEAD_PHOTOCELL</v>
      </c>
      <c r="H208" s="14" t="s">
        <v>214</v>
      </c>
      <c r="I208" s="15" t="s">
        <v>284</v>
      </c>
      <c r="J208" s="14" t="s">
        <v>259</v>
      </c>
      <c r="K208" s="14" t="s">
        <v>259</v>
      </c>
      <c r="L208" s="14" t="s">
        <v>259</v>
      </c>
      <c r="M208" s="14" t="s">
        <v>259</v>
      </c>
      <c r="N208" s="14" t="s">
        <v>259</v>
      </c>
      <c r="O208" s="14" t="s">
        <v>259</v>
      </c>
      <c r="P208" s="14" t="s">
        <v>259</v>
      </c>
      <c r="Q208" s="14" t="s">
        <v>259</v>
      </c>
      <c r="R208" s="14" t="s">
        <v>62</v>
      </c>
      <c r="S208" s="14" t="s">
        <v>356</v>
      </c>
      <c r="T208" s="14" t="str">
        <f>_xlfn.CONCAT("I",(U205+9),".1")</f>
        <v>I1069.1</v>
      </c>
      <c r="U208" s="14"/>
      <c r="V208" s="36"/>
    </row>
    <row r="209" spans="1:22" ht="14.45" customHeight="1" x14ac:dyDescent="0.25">
      <c r="A209" s="35" t="s">
        <v>27</v>
      </c>
      <c r="B209" s="15" t="s">
        <v>1</v>
      </c>
      <c r="C209" s="14"/>
      <c r="D209" s="14"/>
      <c r="E209" s="14" t="s">
        <v>259</v>
      </c>
      <c r="F209" s="14" t="s">
        <v>259</v>
      </c>
      <c r="G209" s="14" t="str">
        <f t="shared" si="6"/>
        <v>_SPARE</v>
      </c>
      <c r="H209" s="14" t="s">
        <v>192</v>
      </c>
      <c r="I209" s="14" t="s">
        <v>259</v>
      </c>
      <c r="J209" s="14" t="s">
        <v>259</v>
      </c>
      <c r="K209" s="14" t="s">
        <v>259</v>
      </c>
      <c r="L209" s="14" t="s">
        <v>259</v>
      </c>
      <c r="M209" s="14" t="s">
        <v>259</v>
      </c>
      <c r="N209" s="14" t="s">
        <v>259</v>
      </c>
      <c r="O209" s="14" t="s">
        <v>259</v>
      </c>
      <c r="P209" s="14" t="s">
        <v>259</v>
      </c>
      <c r="Q209" s="14" t="s">
        <v>259</v>
      </c>
      <c r="R209" s="14" t="s">
        <v>62</v>
      </c>
      <c r="S209" s="14" t="s">
        <v>357</v>
      </c>
      <c r="T209" s="14"/>
      <c r="U209" s="14"/>
      <c r="V209" s="36"/>
    </row>
    <row r="210" spans="1:22" ht="14.45" customHeight="1" x14ac:dyDescent="0.25">
      <c r="A210" s="35" t="s">
        <v>27</v>
      </c>
      <c r="B210" s="15" t="s">
        <v>1</v>
      </c>
      <c r="C210" s="15"/>
      <c r="D210" s="14"/>
      <c r="E210" s="14" t="s">
        <v>259</v>
      </c>
      <c r="F210" s="15" t="s">
        <v>259</v>
      </c>
      <c r="G210" s="14" t="str">
        <f t="shared" si="6"/>
        <v>_SPARE</v>
      </c>
      <c r="H210" s="14" t="s">
        <v>192</v>
      </c>
      <c r="I210" s="15" t="s">
        <v>259</v>
      </c>
      <c r="J210" s="14" t="s">
        <v>259</v>
      </c>
      <c r="K210" s="14" t="s">
        <v>259</v>
      </c>
      <c r="L210" s="14" t="s">
        <v>259</v>
      </c>
      <c r="M210" s="14" t="s">
        <v>259</v>
      </c>
      <c r="N210" s="14" t="s">
        <v>259</v>
      </c>
      <c r="O210" s="14" t="s">
        <v>259</v>
      </c>
      <c r="P210" s="14" t="s">
        <v>259</v>
      </c>
      <c r="Q210" s="14" t="s">
        <v>259</v>
      </c>
      <c r="R210" s="14" t="s">
        <v>62</v>
      </c>
      <c r="S210" s="14" t="s">
        <v>358</v>
      </c>
      <c r="T210" s="14"/>
      <c r="U210" s="14"/>
      <c r="V210" s="36"/>
    </row>
    <row r="211" spans="1:22" ht="14.45" customHeight="1" x14ac:dyDescent="0.25">
      <c r="A211" s="35" t="s">
        <v>27</v>
      </c>
      <c r="B211" s="15" t="s">
        <v>1</v>
      </c>
      <c r="C211" s="14"/>
      <c r="D211" s="14"/>
      <c r="E211" s="14" t="s">
        <v>259</v>
      </c>
      <c r="F211" s="14" t="s">
        <v>259</v>
      </c>
      <c r="G211" s="14" t="str">
        <f t="shared" si="6"/>
        <v>_SPARE</v>
      </c>
      <c r="H211" s="14" t="s">
        <v>192</v>
      </c>
      <c r="I211" s="14" t="s">
        <v>259</v>
      </c>
      <c r="J211" s="14" t="s">
        <v>259</v>
      </c>
      <c r="K211" s="14" t="s">
        <v>259</v>
      </c>
      <c r="L211" s="14" t="s">
        <v>259</v>
      </c>
      <c r="M211" s="14" t="s">
        <v>259</v>
      </c>
      <c r="N211" s="14" t="s">
        <v>259</v>
      </c>
      <c r="O211" s="14" t="s">
        <v>259</v>
      </c>
      <c r="P211" s="14" t="s">
        <v>259</v>
      </c>
      <c r="Q211" s="14" t="s">
        <v>259</v>
      </c>
      <c r="R211" s="14" t="s">
        <v>62</v>
      </c>
      <c r="S211" s="14" t="s">
        <v>359</v>
      </c>
      <c r="T211" s="14"/>
      <c r="U211" s="14"/>
      <c r="V211" s="36"/>
    </row>
    <row r="212" spans="1:22" ht="14.45" customHeight="1" x14ac:dyDescent="0.25">
      <c r="A212" s="35" t="s">
        <v>27</v>
      </c>
      <c r="B212" s="15" t="s">
        <v>1</v>
      </c>
      <c r="C212" s="15"/>
      <c r="D212" s="14"/>
      <c r="E212" s="14" t="s">
        <v>259</v>
      </c>
      <c r="F212" s="15" t="s">
        <v>259</v>
      </c>
      <c r="G212" s="14" t="str">
        <f t="shared" si="6"/>
        <v>_SPARE</v>
      </c>
      <c r="H212" s="14" t="s">
        <v>192</v>
      </c>
      <c r="I212" s="14" t="s">
        <v>259</v>
      </c>
      <c r="J212" s="14" t="s">
        <v>259</v>
      </c>
      <c r="K212" s="14" t="s">
        <v>259</v>
      </c>
      <c r="L212" s="14" t="s">
        <v>259</v>
      </c>
      <c r="M212" s="14" t="s">
        <v>259</v>
      </c>
      <c r="N212" s="14" t="s">
        <v>259</v>
      </c>
      <c r="O212" s="14" t="s">
        <v>259</v>
      </c>
      <c r="P212" s="14" t="s">
        <v>259</v>
      </c>
      <c r="Q212" s="14" t="s">
        <v>259</v>
      </c>
      <c r="R212" s="14" t="s">
        <v>62</v>
      </c>
      <c r="S212" s="14" t="s">
        <v>360</v>
      </c>
      <c r="T212" s="14"/>
      <c r="U212" s="14"/>
      <c r="V212" s="36"/>
    </row>
    <row r="213" spans="1:22" ht="14.45" customHeight="1" x14ac:dyDescent="0.25">
      <c r="A213" s="35" t="s">
        <v>27</v>
      </c>
      <c r="B213" s="15" t="s">
        <v>1</v>
      </c>
      <c r="C213" s="14"/>
      <c r="D213" s="14"/>
      <c r="E213" s="14" t="s">
        <v>259</v>
      </c>
      <c r="F213" s="14" t="s">
        <v>259</v>
      </c>
      <c r="G213" s="14" t="str">
        <f t="shared" si="6"/>
        <v>_SPARE</v>
      </c>
      <c r="H213" s="14" t="s">
        <v>192</v>
      </c>
      <c r="I213" s="14" t="s">
        <v>259</v>
      </c>
      <c r="J213" s="14" t="s">
        <v>259</v>
      </c>
      <c r="K213" s="14" t="s">
        <v>259</v>
      </c>
      <c r="L213" s="14" t="s">
        <v>259</v>
      </c>
      <c r="M213" s="14" t="s">
        <v>259</v>
      </c>
      <c r="N213" s="14" t="s">
        <v>259</v>
      </c>
      <c r="O213" s="14" t="s">
        <v>259</v>
      </c>
      <c r="P213" s="14" t="s">
        <v>259</v>
      </c>
      <c r="Q213" s="14" t="s">
        <v>259</v>
      </c>
      <c r="R213" s="14" t="s">
        <v>62</v>
      </c>
      <c r="S213" s="14" t="s">
        <v>361</v>
      </c>
      <c r="T213" s="14"/>
      <c r="U213" s="14"/>
      <c r="V213" s="36"/>
    </row>
    <row r="214" spans="1:22" ht="14.45" customHeight="1" x14ac:dyDescent="0.25">
      <c r="A214" s="35" t="s">
        <v>27</v>
      </c>
      <c r="B214" s="15" t="s">
        <v>1</v>
      </c>
      <c r="C214" s="14"/>
      <c r="D214" s="14"/>
      <c r="E214" s="14" t="s">
        <v>259</v>
      </c>
      <c r="F214" s="14" t="s">
        <v>259</v>
      </c>
      <c r="G214" s="14" t="str">
        <f t="shared" si="6"/>
        <v>_SPARE</v>
      </c>
      <c r="H214" s="14" t="s">
        <v>192</v>
      </c>
      <c r="I214" s="14" t="s">
        <v>259</v>
      </c>
      <c r="J214" s="14" t="s">
        <v>259</v>
      </c>
      <c r="K214" s="14" t="s">
        <v>259</v>
      </c>
      <c r="L214" s="14" t="s">
        <v>259</v>
      </c>
      <c r="M214" s="14" t="s">
        <v>259</v>
      </c>
      <c r="N214" s="14" t="s">
        <v>259</v>
      </c>
      <c r="O214" s="14" t="s">
        <v>259</v>
      </c>
      <c r="P214" s="14" t="s">
        <v>259</v>
      </c>
      <c r="Q214" s="14" t="s">
        <v>259</v>
      </c>
      <c r="R214" s="14" t="s">
        <v>62</v>
      </c>
      <c r="S214" s="14" t="s">
        <v>362</v>
      </c>
      <c r="T214" s="14"/>
      <c r="U214" s="14"/>
      <c r="V214" s="36"/>
    </row>
    <row r="215" spans="1:22" ht="14.45" customHeight="1" thickBot="1" x14ac:dyDescent="0.3">
      <c r="A215" s="37" t="s">
        <v>27</v>
      </c>
      <c r="B215" s="38" t="s">
        <v>1</v>
      </c>
      <c r="C215" s="39"/>
      <c r="D215" s="39"/>
      <c r="E215" s="39" t="s">
        <v>259</v>
      </c>
      <c r="F215" s="39" t="s">
        <v>259</v>
      </c>
      <c r="G215" s="39" t="str">
        <f t="shared" si="6"/>
        <v>_SPARE</v>
      </c>
      <c r="H215" s="39" t="s">
        <v>192</v>
      </c>
      <c r="I215" s="39" t="s">
        <v>259</v>
      </c>
      <c r="J215" s="39" t="s">
        <v>259</v>
      </c>
      <c r="K215" s="39" t="s">
        <v>259</v>
      </c>
      <c r="L215" s="39" t="s">
        <v>259</v>
      </c>
      <c r="M215" s="39" t="s">
        <v>259</v>
      </c>
      <c r="N215" s="39" t="s">
        <v>259</v>
      </c>
      <c r="O215" s="39" t="s">
        <v>259</v>
      </c>
      <c r="P215" s="39" t="s">
        <v>259</v>
      </c>
      <c r="Q215" s="39" t="s">
        <v>259</v>
      </c>
      <c r="R215" s="39" t="s">
        <v>62</v>
      </c>
      <c r="S215" s="39" t="s">
        <v>363</v>
      </c>
      <c r="T215" s="39"/>
      <c r="U215" s="39"/>
      <c r="V215" s="40"/>
    </row>
  </sheetData>
  <autoFilter ref="A3:V215" xr:uid="{00000000-0001-0000-0000-000000000000}"/>
  <mergeCells count="5">
    <mergeCell ref="H2:T2"/>
    <mergeCell ref="A1:I1"/>
    <mergeCell ref="J1:P1"/>
    <mergeCell ref="Q1:S1"/>
    <mergeCell ref="A2:F2"/>
  </mergeCells>
  <phoneticPr fontId="16" type="noConversion"/>
  <conditionalFormatting sqref="F1">
    <cfRule type="duplicateValues" dxfId="2" priority="5"/>
  </conditionalFormatting>
  <conditionalFormatting sqref="F2">
    <cfRule type="duplicateValues" dxfId="1" priority="2"/>
  </conditionalFormatting>
  <conditionalFormatting sqref="F3">
    <cfRule type="duplicateValues" dxfId="0" priority="1"/>
  </conditionalFormatting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0850144F0DC324986F9A783986EC17C" ma:contentTypeVersion="15" ma:contentTypeDescription="Creare un nuovo documento." ma:contentTypeScope="" ma:versionID="da527b590d4a177328f6409db9ba0649">
  <xsd:schema xmlns:xsd="http://www.w3.org/2001/XMLSchema" xmlns:xs="http://www.w3.org/2001/XMLSchema" xmlns:p="http://schemas.microsoft.com/office/2006/metadata/properties" xmlns:ns2="383b0bb7-e620-4e20-ae9e-4f262a20ab07" xmlns:ns3="aca03388-b78c-4415-a826-d0bf4eb594c5" targetNamespace="http://schemas.microsoft.com/office/2006/metadata/properties" ma:root="true" ma:fieldsID="0f42c548b16b2c48d2f418cc91f8e400" ns2:_="" ns3:_="">
    <xsd:import namespace="383b0bb7-e620-4e20-ae9e-4f262a20ab07"/>
    <xsd:import namespace="aca03388-b78c-4415-a826-d0bf4eb594c5"/>
    <xsd:element name="properties">
      <xsd:complexType>
        <xsd:sequence>
          <xsd:element name="documentManagement">
            <xsd:complexType>
              <xsd:all>
                <xsd:element ref="ns2:MigrationWizId" minOccurs="0"/>
                <xsd:element ref="ns2:MigrationWizIdPermissions" minOccurs="0"/>
                <xsd:element ref="ns2:MigrationWizIdVersion" minOccurs="0"/>
                <xsd:element ref="ns2:lcf76f155ced4ddcb4097134ff3c332f0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83b0bb7-e620-4e20-ae9e-4f262a20ab07" elementFormDefault="qualified">
    <xsd:import namespace="http://schemas.microsoft.com/office/2006/documentManagement/types"/>
    <xsd:import namespace="http://schemas.microsoft.com/office/infopath/2007/PartnerControls"/>
    <xsd:element name="MigrationWizId" ma:index="8" nillable="true" ma:displayName="MigrationWizId" ma:internalName="MigrationWizId">
      <xsd:simpleType>
        <xsd:restriction base="dms:Text"/>
      </xsd:simpleType>
    </xsd:element>
    <xsd:element name="MigrationWizIdPermissions" ma:index="9" nillable="true" ma:displayName="MigrationWizIdPermissions" ma:internalName="MigrationWizIdPermissions">
      <xsd:simpleType>
        <xsd:restriction base="dms:Text"/>
      </xsd:simpleType>
    </xsd:element>
    <xsd:element name="MigrationWizIdVersion" ma:index="10" nillable="true" ma:displayName="MigrationWizIdVersion" ma:internalName="MigrationWizIdVersion">
      <xsd:simpleType>
        <xsd:restriction base="dms:Text"/>
      </xsd:simpleType>
    </xsd:element>
    <xsd:element name="lcf76f155ced4ddcb4097134ff3c332f0" ma:index="11" nillable="true" ma:displayName="Image Tags_0" ma:hidden="true" ma:internalName="lcf76f155ced4ddcb4097134ff3c332f0" ma:readOnly="false">
      <xsd:simpleType>
        <xsd:restriction base="dms:Note"/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0" nillable="true" ma:taxonomy="true" ma:internalName="lcf76f155ced4ddcb4097134ff3c332f" ma:taxonomyFieldName="MediaServiceImageTags" ma:displayName="Tag immagine" ma:readOnly="false" ma:fieldId="{5cf76f15-5ced-4ddc-b409-7134ff3c332f}" ma:taxonomyMulti="true" ma:sspId="f1a04adc-9052-4f47-a6c3-b48088951c3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ca03388-b78c-4415-a826-d0bf4eb594c5" elementFormDefault="qualified">
    <xsd:import namespace="http://schemas.microsoft.com/office/2006/documentManagement/types"/>
    <xsd:import namespace="http://schemas.microsoft.com/office/infopath/2007/PartnerControls"/>
    <xsd:element name="TaxCatchAll" ma:index="21" nillable="true" ma:displayName="Taxonomy Catch All Column" ma:hidden="true" ma:list="{26a4c392-0b72-4429-9e39-2552e4e42db6}" ma:internalName="TaxCatchAll" ma:showField="CatchAllData" ma:web="aca03388-b78c-4415-a826-d0bf4eb594c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ca03388-b78c-4415-a826-d0bf4eb594c5" xsi:nil="true"/>
    <lcf76f155ced4ddcb4097134ff3c332f xmlns="383b0bb7-e620-4e20-ae9e-4f262a20ab07">
      <Terms xmlns="http://schemas.microsoft.com/office/infopath/2007/PartnerControls"/>
    </lcf76f155ced4ddcb4097134ff3c332f>
    <MigrationWizIdPermissions xmlns="383b0bb7-e620-4e20-ae9e-4f262a20ab07" xsi:nil="true"/>
    <MigrationWizId xmlns="383b0bb7-e620-4e20-ae9e-4f262a20ab07" xsi:nil="true"/>
    <MigrationWizIdVersion xmlns="383b0bb7-e620-4e20-ae9e-4f262a20ab07" xsi:nil="true"/>
    <lcf76f155ced4ddcb4097134ff3c332f0 xmlns="383b0bb7-e620-4e20-ae9e-4f262a20ab07" xsi:nil="true"/>
  </documentManagement>
</p:properties>
</file>

<file path=customXml/itemProps1.xml><?xml version="1.0" encoding="utf-8"?>
<ds:datastoreItem xmlns:ds="http://schemas.openxmlformats.org/officeDocument/2006/customXml" ds:itemID="{F8016C37-55EC-4E22-8DA4-5D0423CAAC3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DDD06CB-A440-48B1-8DB6-CCAE7949D7BC}"/>
</file>

<file path=customXml/itemProps3.xml><?xml version="1.0" encoding="utf-8"?>
<ds:datastoreItem xmlns:ds="http://schemas.openxmlformats.org/officeDocument/2006/customXml" ds:itemID="{AC5C007E-8165-41BE-9A06-7E3FC76D2AC2}">
  <ds:schemaRefs>
    <ds:schemaRef ds:uri="http://schemas.openxmlformats.org/package/2006/metadata/core-properties"/>
    <ds:schemaRef ds:uri="http://schemas.microsoft.com/office/2006/metadata/properties"/>
    <ds:schemaRef ds:uri="383b0bb7-e620-4e20-ae9e-4f262a20ab07"/>
    <ds:schemaRef ds:uri="http://purl.org/dc/terms/"/>
    <ds:schemaRef ds:uri="http://purl.org/dc/dcmitype/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aca03388-b78c-4415-a826-d0bf4eb594c5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Revision</vt:lpstr>
      <vt:lpstr>Remote List</vt:lpstr>
      <vt:lpstr>IO 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2025-10-19T19:06:51Z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0x01010010850144F0DC324986F9A783986EC17C</vt:lpwstr>
  </property>
  <property fmtid="{D5CDD505-2E9C-101B-9397-08002B2CF9AE}" pid="3" name="MediaServiceImageTags">
    <vt:lpwstr/>
  </property>
</Properties>
</file>